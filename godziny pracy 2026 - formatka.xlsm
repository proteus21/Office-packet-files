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bkonefal\Desktop\MTU Aero Engines - Stanowisko automatycznego pomiaru łopatek - oferta\"/>
    </mc:Choice>
  </mc:AlternateContent>
  <bookViews>
    <workbookView xWindow="-120" yWindow="-120" windowWidth="38640" windowHeight="21120" tabRatio="878" firstSheet="1" activeTab="2"/>
  </bookViews>
  <sheets>
    <sheet name="Dane" sheetId="17" state="hidden" r:id="rId1"/>
    <sheet name="Januar 2026" sheetId="10" r:id="rId2"/>
    <sheet name="Februar 2026" sheetId="4" r:id="rId3"/>
    <sheet name="März 2026" sheetId="5" r:id="rId4"/>
    <sheet name="April 2026" sheetId="6" r:id="rId5"/>
    <sheet name="Mai 2026" sheetId="7" r:id="rId6"/>
    <sheet name="Juni 2026" sheetId="8" r:id="rId7"/>
    <sheet name="Juli 2026" sheetId="1" r:id="rId8"/>
    <sheet name="August 2026" sheetId="9" r:id="rId9"/>
    <sheet name="September 2026" sheetId="12" r:id="rId10"/>
    <sheet name="Oktober 2026" sheetId="14" r:id="rId11"/>
    <sheet name="November 2026" sheetId="15" r:id="rId12"/>
    <sheet name="Dezember 2026" sheetId="16" r:id="rId13"/>
    <sheet name="Statystyki" sheetId="19" r:id="rId14"/>
  </sheets>
  <definedNames>
    <definedName name="godz" localSheetId="4">'April 2026'!$J$1</definedName>
    <definedName name="godz" localSheetId="8">'August 2026'!$J$1</definedName>
    <definedName name="godz" localSheetId="12">'Dezember 2026'!$J$1</definedName>
    <definedName name="godz" localSheetId="2">'Februar 2026'!$J$1</definedName>
    <definedName name="godz" localSheetId="1">'Januar 2026'!$J$1</definedName>
    <definedName name="godz" localSheetId="6">'Juni 2026'!$J$1</definedName>
    <definedName name="godz" localSheetId="5">'Mai 2026'!$J$1</definedName>
    <definedName name="godz" localSheetId="3">'März 2026'!$J$1</definedName>
    <definedName name="godz" localSheetId="11">'November 2026'!$J$1</definedName>
    <definedName name="godz" localSheetId="10">'Oktober 2026'!$J$1</definedName>
    <definedName name="godz" localSheetId="9">'September 2026'!$J$1</definedName>
    <definedName name="godz">'Juli 2026'!$J$1</definedName>
    <definedName name="godztyg" localSheetId="4">'April 2026'!$J$2</definedName>
    <definedName name="godztyg" localSheetId="8">'August 2026'!$J$2</definedName>
    <definedName name="godztyg" localSheetId="12">'Dezember 2026'!$J$2</definedName>
    <definedName name="godztyg" localSheetId="2">'Februar 2026'!$J$2</definedName>
    <definedName name="godztyg" localSheetId="1">'Januar 2026'!$J$2</definedName>
    <definedName name="godztyg" localSheetId="6">'Juni 2026'!$J$2</definedName>
    <definedName name="godztyg" localSheetId="5">'Mai 2026'!$J$2</definedName>
    <definedName name="godztyg" localSheetId="3">'März 2026'!$J$2</definedName>
    <definedName name="godztyg" localSheetId="11">'November 2026'!$J$2</definedName>
    <definedName name="godztyg" localSheetId="10">'Oktober 2026'!$J$2</definedName>
    <definedName name="godztyg" localSheetId="9">'September 2026'!$J$2</definedName>
    <definedName name="godztyg">'Juli 2026'!$J$2</definedName>
    <definedName name="pause" localSheetId="4">'April 2026'!$J$6</definedName>
    <definedName name="pause" localSheetId="8">'August 2026'!$J$6</definedName>
    <definedName name="pause" localSheetId="12">'Dezember 2026'!$J$6</definedName>
    <definedName name="pause" localSheetId="2">'Februar 2026'!$J$6</definedName>
    <definedName name="pause" localSheetId="1">'Januar 2026'!$J$6</definedName>
    <definedName name="pause" localSheetId="6">'Juni 2026'!$J$6</definedName>
    <definedName name="pause" localSheetId="5">'Mai 2026'!$J$6</definedName>
    <definedName name="pause" localSheetId="3">'März 2026'!$J$6</definedName>
    <definedName name="pause" localSheetId="11">'November 2026'!$J$6</definedName>
    <definedName name="pause" localSheetId="10">'Oktober 2026'!$J$6</definedName>
    <definedName name="pause" localSheetId="9">'September 2026'!$J$6</definedName>
    <definedName name="pause">'Juli 2026'!$J$6</definedName>
    <definedName name="pause2" localSheetId="4">'April 2026'!$J$7</definedName>
    <definedName name="pause2" localSheetId="8">'August 2026'!$J$7</definedName>
    <definedName name="pause2" localSheetId="12">'Dezember 2026'!$J$7</definedName>
    <definedName name="pause2" localSheetId="2">'Februar 2026'!$J$7</definedName>
    <definedName name="pause2" localSheetId="1">'Januar 2026'!$J$7</definedName>
    <definedName name="pause2" localSheetId="6">'Juni 2026'!$J$7</definedName>
    <definedName name="pause2" localSheetId="5">'Mai 2026'!$J$7</definedName>
    <definedName name="pause2" localSheetId="3">'März 2026'!$J$7</definedName>
    <definedName name="pause2" localSheetId="11">'November 2026'!$J$7</definedName>
    <definedName name="pause2" localSheetId="10">'Oktober 2026'!$J$7</definedName>
    <definedName name="pause2" localSheetId="9">'September 2026'!$J$7</definedName>
    <definedName name="pause2">'Juli 2026'!$J$7</definedName>
    <definedName name="przerwa1" localSheetId="4">'April 2026'!$J$5</definedName>
    <definedName name="przerwa1" localSheetId="8">'August 2026'!$J$5</definedName>
    <definedName name="przerwa1" localSheetId="12">'Dezember 2026'!$J$5</definedName>
    <definedName name="przerwa1" localSheetId="2">'Februar 2026'!$J$5</definedName>
    <definedName name="przerwa1" localSheetId="1">'Januar 2026'!$J$5</definedName>
    <definedName name="przerwa1" localSheetId="6">'Juni 2026'!$J$5</definedName>
    <definedName name="przerwa1" localSheetId="5">'Mai 2026'!$J$5</definedName>
    <definedName name="przerwa1" localSheetId="3">'März 2026'!$J$5</definedName>
    <definedName name="przerwa1" localSheetId="11">'November 2026'!$J$5</definedName>
    <definedName name="przerwa1" localSheetId="10">'Oktober 2026'!$J$5</definedName>
    <definedName name="przerwa1" localSheetId="9">'September 2026'!$J$5</definedName>
    <definedName name="przerwa1">'Juli 2026'!$J$5</definedName>
    <definedName name="przerwa15min" localSheetId="4">'April 2026'!$J$6</definedName>
    <definedName name="przerwa15min" localSheetId="8">'August 2026'!$J$6</definedName>
    <definedName name="przerwa15min" localSheetId="12">'Dezember 2026'!$J$6</definedName>
    <definedName name="przerwa15min" localSheetId="2">'Februar 2026'!$J$6</definedName>
    <definedName name="przerwa15min" localSheetId="1">'Januar 2026'!$J$6</definedName>
    <definedName name="przerwa15min" localSheetId="6">'Juni 2026'!$J$6</definedName>
    <definedName name="przerwa15min" localSheetId="5">'Mai 2026'!$J$6</definedName>
    <definedName name="przerwa15min" localSheetId="3">'März 2026'!$J$6</definedName>
    <definedName name="przerwa15min" localSheetId="11">'November 2026'!$J$6</definedName>
    <definedName name="przerwa15min" localSheetId="10">'Oktober 2026'!$J$6</definedName>
    <definedName name="przerwa15min" localSheetId="9">'September 2026'!$J$6</definedName>
    <definedName name="przerwa15min">'Juli 2026'!$J$6</definedName>
    <definedName name="rodz11">'Januar 2026'!$E$11</definedName>
    <definedName name="rodz12">'Januar 2026'!$E$12</definedName>
    <definedName name="rok" localSheetId="4">'April 2026'!$H$1</definedName>
    <definedName name="rok" localSheetId="8">'August 2026'!$H$1</definedName>
    <definedName name="rok" localSheetId="12">'Dezember 2026'!$H$1</definedName>
    <definedName name="rok" localSheetId="2">'Februar 2026'!$H$1</definedName>
    <definedName name="rok" localSheetId="1">'Januar 2026'!$H$1</definedName>
    <definedName name="rok" localSheetId="6">'Juni 2026'!$H$1</definedName>
    <definedName name="rok" localSheetId="5">'Mai 2026'!$H$1</definedName>
    <definedName name="rok" localSheetId="3">'März 2026'!$H$1</definedName>
    <definedName name="rok" localSheetId="11">'November 2026'!$H$1</definedName>
    <definedName name="rok" localSheetId="10">'Oktober 2026'!$H$1</definedName>
    <definedName name="rok" localSheetId="9">'September 2026'!$H$1</definedName>
    <definedName name="rok">'Juli 2026'!$H$1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0" i="6" l="1"/>
  <c r="J20" i="6" s="1"/>
  <c r="I21" i="6"/>
  <c r="J21" i="6" s="1"/>
  <c r="M39" i="4" l="1"/>
  <c r="L39" i="4"/>
  <c r="AH41" i="16"/>
  <c r="AG41" i="16"/>
  <c r="AI41" i="16" s="1"/>
  <c r="AE41" i="16"/>
  <c r="AD41" i="16"/>
  <c r="AF41" i="16" s="1"/>
  <c r="AH40" i="16"/>
  <c r="AG40" i="16"/>
  <c r="AI40" i="16" s="1"/>
  <c r="AE40" i="16"/>
  <c r="AD40" i="16"/>
  <c r="AH39" i="16"/>
  <c r="AG39" i="16"/>
  <c r="AE39" i="16"/>
  <c r="AD39" i="16"/>
  <c r="AF39" i="16" s="1"/>
  <c r="AH38" i="16"/>
  <c r="AG38" i="16"/>
  <c r="AE38" i="16"/>
  <c r="AD38" i="16"/>
  <c r="AF38" i="16" s="1"/>
  <c r="AH37" i="16"/>
  <c r="AG37" i="16"/>
  <c r="AE37" i="16"/>
  <c r="AD37" i="16"/>
  <c r="AH36" i="16"/>
  <c r="AI36" i="16" s="1"/>
  <c r="AG36" i="16"/>
  <c r="AE36" i="16"/>
  <c r="AD36" i="16"/>
  <c r="AF36" i="16" s="1"/>
  <c r="AH35" i="16"/>
  <c r="AG35" i="16"/>
  <c r="AE35" i="16"/>
  <c r="AD35" i="16"/>
  <c r="AF35" i="16" s="1"/>
  <c r="AH34" i="16"/>
  <c r="AG34" i="16"/>
  <c r="AE34" i="16"/>
  <c r="AD34" i="16"/>
  <c r="AH33" i="16"/>
  <c r="AG33" i="16"/>
  <c r="AI33" i="16" s="1"/>
  <c r="AE33" i="16"/>
  <c r="AD33" i="16"/>
  <c r="AH32" i="16"/>
  <c r="AG32" i="16"/>
  <c r="AE32" i="16"/>
  <c r="AD32" i="16"/>
  <c r="AF32" i="16" s="1"/>
  <c r="AH31" i="16"/>
  <c r="AG31" i="16"/>
  <c r="AE31" i="16"/>
  <c r="AD31" i="16"/>
  <c r="AH30" i="16"/>
  <c r="AG30" i="16"/>
  <c r="AI30" i="16" s="1"/>
  <c r="AE30" i="16"/>
  <c r="AD30" i="16"/>
  <c r="AH29" i="16"/>
  <c r="AG29" i="16"/>
  <c r="AE29" i="16"/>
  <c r="AD29" i="16"/>
  <c r="AF29" i="16" s="1"/>
  <c r="AH28" i="16"/>
  <c r="AG28" i="16"/>
  <c r="AE28" i="16"/>
  <c r="AD28" i="16"/>
  <c r="AH27" i="16"/>
  <c r="AG27" i="16"/>
  <c r="AI27" i="16" s="1"/>
  <c r="AE27" i="16"/>
  <c r="AD27" i="16"/>
  <c r="AH26" i="16"/>
  <c r="AI26" i="16" s="1"/>
  <c r="AG26" i="16"/>
  <c r="AE26" i="16"/>
  <c r="AD26" i="16"/>
  <c r="AF26" i="16" s="1"/>
  <c r="AH25" i="16"/>
  <c r="AG25" i="16"/>
  <c r="AE25" i="16"/>
  <c r="AD25" i="16"/>
  <c r="AH24" i="16"/>
  <c r="AG24" i="16"/>
  <c r="AI24" i="16" s="1"/>
  <c r="AE24" i="16"/>
  <c r="AD24" i="16"/>
  <c r="AF24" i="16" s="1"/>
  <c r="AH23" i="16"/>
  <c r="AG23" i="16"/>
  <c r="AE23" i="16"/>
  <c r="AD23" i="16"/>
  <c r="AH22" i="16"/>
  <c r="AG22" i="16"/>
  <c r="AE22" i="16"/>
  <c r="AD22" i="16"/>
  <c r="AH21" i="16"/>
  <c r="AG21" i="16"/>
  <c r="AI21" i="16" s="1"/>
  <c r="AE21" i="16"/>
  <c r="AD21" i="16"/>
  <c r="AH20" i="16"/>
  <c r="AG20" i="16"/>
  <c r="AI20" i="16" s="1"/>
  <c r="AE20" i="16"/>
  <c r="AD20" i="16"/>
  <c r="AH19" i="16"/>
  <c r="AI19" i="16" s="1"/>
  <c r="AG19" i="16"/>
  <c r="AE19" i="16"/>
  <c r="AD19" i="16"/>
  <c r="AI18" i="16"/>
  <c r="AH18" i="16"/>
  <c r="AG18" i="16"/>
  <c r="AE18" i="16"/>
  <c r="AD18" i="16"/>
  <c r="AI17" i="16"/>
  <c r="AH17" i="16"/>
  <c r="AG17" i="16"/>
  <c r="AE17" i="16"/>
  <c r="AF17" i="16" s="1"/>
  <c r="AD17" i="16"/>
  <c r="AH16" i="16"/>
  <c r="AG16" i="16"/>
  <c r="AI16" i="16" s="1"/>
  <c r="AE16" i="16"/>
  <c r="AD16" i="16"/>
  <c r="AH15" i="16"/>
  <c r="AG15" i="16"/>
  <c r="AE15" i="16"/>
  <c r="AD15" i="16"/>
  <c r="AF15" i="16" s="1"/>
  <c r="AH14" i="16"/>
  <c r="AG14" i="16"/>
  <c r="AE14" i="16"/>
  <c r="AD14" i="16"/>
  <c r="AH13" i="16"/>
  <c r="AG13" i="16"/>
  <c r="AI13" i="16" s="1"/>
  <c r="AE13" i="16"/>
  <c r="AF13" i="16" s="1"/>
  <c r="AD13" i="16"/>
  <c r="AH12" i="16"/>
  <c r="AG12" i="16"/>
  <c r="AE12" i="16"/>
  <c r="AD12" i="16"/>
  <c r="AH11" i="16"/>
  <c r="AG11" i="16"/>
  <c r="AI11" i="16" s="1"/>
  <c r="AE11" i="16"/>
  <c r="AF11" i="16" s="1"/>
  <c r="AD11" i="16"/>
  <c r="AL41" i="15"/>
  <c r="AK41" i="15"/>
  <c r="AJ41" i="15"/>
  <c r="AI41" i="15"/>
  <c r="AH41" i="15"/>
  <c r="AG41" i="15"/>
  <c r="AF41" i="15"/>
  <c r="AE41" i="15"/>
  <c r="AD41" i="15"/>
  <c r="AH40" i="15"/>
  <c r="AG40" i="15"/>
  <c r="AI40" i="15" s="1"/>
  <c r="AE40" i="15"/>
  <c r="AD40" i="15"/>
  <c r="AF40" i="15" s="1"/>
  <c r="AH39" i="15"/>
  <c r="AG39" i="15"/>
  <c r="AE39" i="15"/>
  <c r="AD39" i="15"/>
  <c r="AH38" i="15"/>
  <c r="AI38" i="15" s="1"/>
  <c r="AG38" i="15"/>
  <c r="AE38" i="15"/>
  <c r="AD38" i="15"/>
  <c r="AH37" i="15"/>
  <c r="AG37" i="15"/>
  <c r="AE37" i="15"/>
  <c r="AD37" i="15"/>
  <c r="AF37" i="15" s="1"/>
  <c r="AI36" i="15"/>
  <c r="AH36" i="15"/>
  <c r="AG36" i="15"/>
  <c r="AE36" i="15"/>
  <c r="AD36" i="15"/>
  <c r="AF36" i="15" s="1"/>
  <c r="AH35" i="15"/>
  <c r="AG35" i="15"/>
  <c r="AI35" i="15" s="1"/>
  <c r="AF35" i="15"/>
  <c r="AE35" i="15"/>
  <c r="AD35" i="15"/>
  <c r="AH34" i="15"/>
  <c r="AG34" i="15"/>
  <c r="AE34" i="15"/>
  <c r="AD34" i="15"/>
  <c r="AH33" i="15"/>
  <c r="AG33" i="15"/>
  <c r="AE33" i="15"/>
  <c r="AD33" i="15"/>
  <c r="AH32" i="15"/>
  <c r="AG32" i="15"/>
  <c r="AE32" i="15"/>
  <c r="AD32" i="15"/>
  <c r="AF32" i="15" s="1"/>
  <c r="AH31" i="15"/>
  <c r="AG31" i="15"/>
  <c r="AE31" i="15"/>
  <c r="AD31" i="15"/>
  <c r="AH30" i="15"/>
  <c r="AG30" i="15"/>
  <c r="AE30" i="15"/>
  <c r="AD30" i="15"/>
  <c r="AF30" i="15" s="1"/>
  <c r="AH29" i="15"/>
  <c r="AG29" i="15"/>
  <c r="AI29" i="15" s="1"/>
  <c r="AE29" i="15"/>
  <c r="AF29" i="15" s="1"/>
  <c r="AD29" i="15"/>
  <c r="AH28" i="15"/>
  <c r="AG28" i="15"/>
  <c r="AI28" i="15" s="1"/>
  <c r="AE28" i="15"/>
  <c r="AD28" i="15"/>
  <c r="AF28" i="15" s="1"/>
  <c r="AH27" i="15"/>
  <c r="AG27" i="15"/>
  <c r="AI27" i="15" s="1"/>
  <c r="AE27" i="15"/>
  <c r="AD27" i="15"/>
  <c r="AF27" i="15" s="1"/>
  <c r="AH26" i="15"/>
  <c r="AG26" i="15"/>
  <c r="AI26" i="15" s="1"/>
  <c r="AE26" i="15"/>
  <c r="AD26" i="15"/>
  <c r="AH25" i="15"/>
  <c r="AG25" i="15"/>
  <c r="AI25" i="15" s="1"/>
  <c r="AE25" i="15"/>
  <c r="AD25" i="15"/>
  <c r="AH24" i="15"/>
  <c r="AG24" i="15"/>
  <c r="AE24" i="15"/>
  <c r="AD24" i="15"/>
  <c r="AH23" i="15"/>
  <c r="AG23" i="15"/>
  <c r="AE23" i="15"/>
  <c r="AD23" i="15"/>
  <c r="AH22" i="15"/>
  <c r="AG22" i="15"/>
  <c r="AI22" i="15" s="1"/>
  <c r="AE22" i="15"/>
  <c r="AD22" i="15"/>
  <c r="AH21" i="15"/>
  <c r="AG21" i="15"/>
  <c r="AE21" i="15"/>
  <c r="AD21" i="15"/>
  <c r="AH20" i="15"/>
  <c r="AG20" i="15"/>
  <c r="AE20" i="15"/>
  <c r="AD20" i="15"/>
  <c r="AH19" i="15"/>
  <c r="AG19" i="15"/>
  <c r="AI19" i="15" s="1"/>
  <c r="AE19" i="15"/>
  <c r="AD19" i="15"/>
  <c r="AH18" i="15"/>
  <c r="AG18" i="15"/>
  <c r="AE18" i="15"/>
  <c r="AD18" i="15"/>
  <c r="AH17" i="15"/>
  <c r="AG17" i="15"/>
  <c r="AI17" i="15" s="1"/>
  <c r="AE17" i="15"/>
  <c r="AD17" i="15"/>
  <c r="AH16" i="15"/>
  <c r="AG16" i="15"/>
  <c r="AE16" i="15"/>
  <c r="AD16" i="15"/>
  <c r="AH15" i="15"/>
  <c r="AG15" i="15"/>
  <c r="AE15" i="15"/>
  <c r="AD15" i="15"/>
  <c r="AF15" i="15" s="1"/>
  <c r="AH14" i="15"/>
  <c r="AG14" i="15"/>
  <c r="AE14" i="15"/>
  <c r="AD14" i="15"/>
  <c r="AF14" i="15" s="1"/>
  <c r="AH13" i="15"/>
  <c r="AG13" i="15"/>
  <c r="AE13" i="15"/>
  <c r="AD13" i="15"/>
  <c r="AH12" i="15"/>
  <c r="AG12" i="15"/>
  <c r="AE12" i="15"/>
  <c r="AD12" i="15"/>
  <c r="AH11" i="15"/>
  <c r="AI11" i="15" s="1"/>
  <c r="AG11" i="15"/>
  <c r="AE11" i="15"/>
  <c r="AD11" i="15"/>
  <c r="AF11" i="15" s="1"/>
  <c r="AH41" i="14"/>
  <c r="AG41" i="14"/>
  <c r="AE41" i="14"/>
  <c r="AD41" i="14"/>
  <c r="AH40" i="14"/>
  <c r="AG40" i="14"/>
  <c r="AE40" i="14"/>
  <c r="AD40" i="14"/>
  <c r="AH39" i="14"/>
  <c r="AI39" i="14" s="1"/>
  <c r="AG39" i="14"/>
  <c r="AE39" i="14"/>
  <c r="AD39" i="14"/>
  <c r="AF39" i="14" s="1"/>
  <c r="AH38" i="14"/>
  <c r="AG38" i="14"/>
  <c r="AI38" i="14" s="1"/>
  <c r="AE38" i="14"/>
  <c r="AD38" i="14"/>
  <c r="AF38" i="14" s="1"/>
  <c r="AH37" i="14"/>
  <c r="AG37" i="14"/>
  <c r="AE37" i="14"/>
  <c r="AD37" i="14"/>
  <c r="AH36" i="14"/>
  <c r="AG36" i="14"/>
  <c r="AE36" i="14"/>
  <c r="AD36" i="14"/>
  <c r="AF36" i="14" s="1"/>
  <c r="AH35" i="14"/>
  <c r="AG35" i="14"/>
  <c r="AE35" i="14"/>
  <c r="AD35" i="14"/>
  <c r="AH34" i="14"/>
  <c r="AG34" i="14"/>
  <c r="AE34" i="14"/>
  <c r="AD34" i="14"/>
  <c r="AH33" i="14"/>
  <c r="AG33" i="14"/>
  <c r="AE33" i="14"/>
  <c r="AD33" i="14"/>
  <c r="AH32" i="14"/>
  <c r="AI32" i="14" s="1"/>
  <c r="AG32" i="14"/>
  <c r="AE32" i="14"/>
  <c r="AD32" i="14"/>
  <c r="AF32" i="14" s="1"/>
  <c r="AH31" i="14"/>
  <c r="AG31" i="14"/>
  <c r="AI31" i="14" s="1"/>
  <c r="AE31" i="14"/>
  <c r="AD31" i="14"/>
  <c r="AF31" i="14" s="1"/>
  <c r="AH30" i="14"/>
  <c r="AG30" i="14"/>
  <c r="AE30" i="14"/>
  <c r="AD30" i="14"/>
  <c r="AH29" i="14"/>
  <c r="AG29" i="14"/>
  <c r="AE29" i="14"/>
  <c r="AD29" i="14"/>
  <c r="AH28" i="14"/>
  <c r="AG28" i="14"/>
  <c r="AE28" i="14"/>
  <c r="AD28" i="14"/>
  <c r="AH27" i="14"/>
  <c r="AG27" i="14"/>
  <c r="AE27" i="14"/>
  <c r="AD27" i="14"/>
  <c r="AH26" i="14"/>
  <c r="AG26" i="14"/>
  <c r="AE26" i="14"/>
  <c r="AD26" i="14"/>
  <c r="AH25" i="14"/>
  <c r="AI25" i="14" s="1"/>
  <c r="AG25" i="14"/>
  <c r="AE25" i="14"/>
  <c r="AD25" i="14"/>
  <c r="AF25" i="14" s="1"/>
  <c r="AI24" i="14"/>
  <c r="AH24" i="14"/>
  <c r="AG24" i="14"/>
  <c r="AE24" i="14"/>
  <c r="AD24" i="14"/>
  <c r="AF24" i="14" s="1"/>
  <c r="AH23" i="14"/>
  <c r="AG23" i="14"/>
  <c r="AE23" i="14"/>
  <c r="AD23" i="14"/>
  <c r="AH22" i="14"/>
  <c r="AG22" i="14"/>
  <c r="AE22" i="14"/>
  <c r="AD22" i="14"/>
  <c r="AH21" i="14"/>
  <c r="AG21" i="14"/>
  <c r="AE21" i="14"/>
  <c r="AD21" i="14"/>
  <c r="AH20" i="14"/>
  <c r="AG20" i="14"/>
  <c r="AE20" i="14"/>
  <c r="AD20" i="14"/>
  <c r="AH19" i="14"/>
  <c r="AG19" i="14"/>
  <c r="AE19" i="14"/>
  <c r="AD19" i="14"/>
  <c r="AI18" i="14"/>
  <c r="AH18" i="14"/>
  <c r="AG18" i="14"/>
  <c r="AE18" i="14"/>
  <c r="AD18" i="14"/>
  <c r="AF18" i="14" s="1"/>
  <c r="AH17" i="14"/>
  <c r="AG17" i="14"/>
  <c r="AF17" i="14"/>
  <c r="AE17" i="14"/>
  <c r="AD17" i="14"/>
  <c r="AH16" i="14"/>
  <c r="AG16" i="14"/>
  <c r="AE16" i="14"/>
  <c r="AD16" i="14"/>
  <c r="AH15" i="14"/>
  <c r="AG15" i="14"/>
  <c r="AE15" i="14"/>
  <c r="AD15" i="14"/>
  <c r="AH14" i="14"/>
  <c r="AG14" i="14"/>
  <c r="AE14" i="14"/>
  <c r="AD14" i="14"/>
  <c r="AH13" i="14"/>
  <c r="AG13" i="14"/>
  <c r="AE13" i="14"/>
  <c r="AD13" i="14"/>
  <c r="AH12" i="14"/>
  <c r="AG12" i="14"/>
  <c r="AI12" i="14" s="1"/>
  <c r="AE12" i="14"/>
  <c r="AD12" i="14"/>
  <c r="AI11" i="14"/>
  <c r="AH11" i="14"/>
  <c r="AG11" i="14"/>
  <c r="AE11" i="14"/>
  <c r="AD11" i="14"/>
  <c r="AF11" i="14" s="1"/>
  <c r="AL41" i="12"/>
  <c r="AK41" i="12"/>
  <c r="AJ41" i="12"/>
  <c r="AI41" i="12"/>
  <c r="AH41" i="12"/>
  <c r="AG41" i="12"/>
  <c r="AF41" i="12"/>
  <c r="AE41" i="12"/>
  <c r="AD41" i="12"/>
  <c r="AH40" i="12"/>
  <c r="AG40" i="12"/>
  <c r="AE40" i="12"/>
  <c r="AD40" i="12"/>
  <c r="AF40" i="12" s="1"/>
  <c r="AH39" i="12"/>
  <c r="AG39" i="12"/>
  <c r="AE39" i="12"/>
  <c r="AD39" i="12"/>
  <c r="AH38" i="12"/>
  <c r="AG38" i="12"/>
  <c r="AE38" i="12"/>
  <c r="AD38" i="12"/>
  <c r="AH37" i="12"/>
  <c r="AG37" i="12"/>
  <c r="AE37" i="12"/>
  <c r="AD37" i="12"/>
  <c r="AF37" i="12" s="1"/>
  <c r="AH36" i="12"/>
  <c r="AG36" i="12"/>
  <c r="AE36" i="12"/>
  <c r="AF36" i="12" s="1"/>
  <c r="AD36" i="12"/>
  <c r="AH35" i="12"/>
  <c r="AG35" i="12"/>
  <c r="AE35" i="12"/>
  <c r="AD35" i="12"/>
  <c r="AI34" i="12"/>
  <c r="AH34" i="12"/>
  <c r="AG34" i="12"/>
  <c r="AE34" i="12"/>
  <c r="AD34" i="12"/>
  <c r="AF34" i="12" s="1"/>
  <c r="AH33" i="12"/>
  <c r="AG33" i="12"/>
  <c r="AE33" i="12"/>
  <c r="AD33" i="12"/>
  <c r="AH32" i="12"/>
  <c r="AG32" i="12"/>
  <c r="AE32" i="12"/>
  <c r="AD32" i="12"/>
  <c r="AH31" i="12"/>
  <c r="AG31" i="12"/>
  <c r="AE31" i="12"/>
  <c r="AD31" i="12"/>
  <c r="AH30" i="12"/>
  <c r="AG30" i="12"/>
  <c r="AE30" i="12"/>
  <c r="AD30" i="12"/>
  <c r="AH29" i="12"/>
  <c r="AG29" i="12"/>
  <c r="AE29" i="12"/>
  <c r="AD29" i="12"/>
  <c r="AH28" i="12"/>
  <c r="AG28" i="12"/>
  <c r="AE28" i="12"/>
  <c r="AD28" i="12"/>
  <c r="AH27" i="12"/>
  <c r="AG27" i="12"/>
  <c r="AF27" i="12"/>
  <c r="AE27" i="12"/>
  <c r="AD27" i="12"/>
  <c r="AH26" i="12"/>
  <c r="AI26" i="12" s="1"/>
  <c r="AG26" i="12"/>
  <c r="AE26" i="12"/>
  <c r="AF26" i="12" s="1"/>
  <c r="AD26" i="12"/>
  <c r="AH25" i="12"/>
  <c r="AG25" i="12"/>
  <c r="AE25" i="12"/>
  <c r="AD25" i="12"/>
  <c r="AH24" i="12"/>
  <c r="AG24" i="12"/>
  <c r="AE24" i="12"/>
  <c r="AD24" i="12"/>
  <c r="AH23" i="12"/>
  <c r="AI23" i="12" s="1"/>
  <c r="AG23" i="12"/>
  <c r="AE23" i="12"/>
  <c r="AD23" i="12"/>
  <c r="AH22" i="12"/>
  <c r="AG22" i="12"/>
  <c r="AE22" i="12"/>
  <c r="AD22" i="12"/>
  <c r="AH21" i="12"/>
  <c r="AG21" i="12"/>
  <c r="AE21" i="12"/>
  <c r="AD21" i="12"/>
  <c r="AH20" i="12"/>
  <c r="AG20" i="12"/>
  <c r="AE20" i="12"/>
  <c r="AF20" i="12" s="1"/>
  <c r="AD20" i="12"/>
  <c r="AH19" i="12"/>
  <c r="AG19" i="12"/>
  <c r="AE19" i="12"/>
  <c r="AD19" i="12"/>
  <c r="AH18" i="12"/>
  <c r="AG18" i="12"/>
  <c r="AE18" i="12"/>
  <c r="AD18" i="12"/>
  <c r="AH17" i="12"/>
  <c r="AG17" i="12"/>
  <c r="AE17" i="12"/>
  <c r="AD17" i="12"/>
  <c r="AH16" i="12"/>
  <c r="AG16" i="12"/>
  <c r="AE16" i="12"/>
  <c r="AD16" i="12"/>
  <c r="AH15" i="12"/>
  <c r="AG15" i="12"/>
  <c r="AE15" i="12"/>
  <c r="AD15" i="12"/>
  <c r="AH14" i="12"/>
  <c r="AG14" i="12"/>
  <c r="AE14" i="12"/>
  <c r="AD14" i="12"/>
  <c r="AH13" i="12"/>
  <c r="AG13" i="12"/>
  <c r="AI13" i="12" s="1"/>
  <c r="AE13" i="12"/>
  <c r="AD13" i="12"/>
  <c r="AH12" i="12"/>
  <c r="AG12" i="12"/>
  <c r="AE12" i="12"/>
  <c r="AD12" i="12"/>
  <c r="AH11" i="12"/>
  <c r="AG11" i="12"/>
  <c r="AE11" i="12"/>
  <c r="AD11" i="12"/>
  <c r="AH41" i="9"/>
  <c r="AG41" i="9"/>
  <c r="AE41" i="9"/>
  <c r="AD41" i="9"/>
  <c r="AH40" i="9"/>
  <c r="AG40" i="9"/>
  <c r="AI40" i="9" s="1"/>
  <c r="AF40" i="9"/>
  <c r="AE40" i="9"/>
  <c r="AD40" i="9"/>
  <c r="AH39" i="9"/>
  <c r="AG39" i="9"/>
  <c r="AE39" i="9"/>
  <c r="AD39" i="9"/>
  <c r="AH38" i="9"/>
  <c r="AG38" i="9"/>
  <c r="AE38" i="9"/>
  <c r="AF38" i="9" s="1"/>
  <c r="AD38" i="9"/>
  <c r="AH37" i="9"/>
  <c r="AG37" i="9"/>
  <c r="AI37" i="9" s="1"/>
  <c r="AE37" i="9"/>
  <c r="AD37" i="9"/>
  <c r="AF37" i="9" s="1"/>
  <c r="AH36" i="9"/>
  <c r="AG36" i="9"/>
  <c r="AI36" i="9" s="1"/>
  <c r="AF36" i="9"/>
  <c r="AE36" i="9"/>
  <c r="AD36" i="9"/>
  <c r="AH35" i="9"/>
  <c r="AG35" i="9"/>
  <c r="AE35" i="9"/>
  <c r="AD35" i="9"/>
  <c r="AF35" i="9" s="1"/>
  <c r="AH34" i="9"/>
  <c r="AG34" i="9"/>
  <c r="AE34" i="9"/>
  <c r="AD34" i="9"/>
  <c r="AF34" i="9" s="1"/>
  <c r="AH33" i="9"/>
  <c r="AG33" i="9"/>
  <c r="AE33" i="9"/>
  <c r="AD33" i="9"/>
  <c r="AH32" i="9"/>
  <c r="AG32" i="9"/>
  <c r="AE32" i="9"/>
  <c r="AD32" i="9"/>
  <c r="AH31" i="9"/>
  <c r="AG31" i="9"/>
  <c r="AI31" i="9" s="1"/>
  <c r="AE31" i="9"/>
  <c r="AD31" i="9"/>
  <c r="AF31" i="9" s="1"/>
  <c r="AI30" i="9"/>
  <c r="AH30" i="9"/>
  <c r="AG30" i="9"/>
  <c r="AE30" i="9"/>
  <c r="AD30" i="9"/>
  <c r="AF30" i="9" s="1"/>
  <c r="AH29" i="9"/>
  <c r="AG29" i="9"/>
  <c r="AE29" i="9"/>
  <c r="AF29" i="9" s="1"/>
  <c r="AD29" i="9"/>
  <c r="AH28" i="9"/>
  <c r="AG28" i="9"/>
  <c r="AI28" i="9" s="1"/>
  <c r="AE28" i="9"/>
  <c r="AD28" i="9"/>
  <c r="AH27" i="9"/>
  <c r="AG27" i="9"/>
  <c r="AE27" i="9"/>
  <c r="AD27" i="9"/>
  <c r="AF27" i="9" s="1"/>
  <c r="AH26" i="9"/>
  <c r="AG26" i="9"/>
  <c r="AI26" i="9" s="1"/>
  <c r="AE26" i="9"/>
  <c r="AD26" i="9"/>
  <c r="AH25" i="9"/>
  <c r="AG25" i="9"/>
  <c r="AE25" i="9"/>
  <c r="AF25" i="9" s="1"/>
  <c r="AD25" i="9"/>
  <c r="AH24" i="9"/>
  <c r="AG24" i="9"/>
  <c r="AE24" i="9"/>
  <c r="AD24" i="9"/>
  <c r="AF24" i="9" s="1"/>
  <c r="AH23" i="9"/>
  <c r="AI23" i="9" s="1"/>
  <c r="AG23" i="9"/>
  <c r="AE23" i="9"/>
  <c r="AD23" i="9"/>
  <c r="AH22" i="9"/>
  <c r="AG22" i="9"/>
  <c r="AF22" i="9"/>
  <c r="AE22" i="9"/>
  <c r="AD22" i="9"/>
  <c r="AH21" i="9"/>
  <c r="AG21" i="9"/>
  <c r="AE21" i="9"/>
  <c r="AD21" i="9"/>
  <c r="AH20" i="9"/>
  <c r="AG20" i="9"/>
  <c r="AI20" i="9" s="1"/>
  <c r="AE20" i="9"/>
  <c r="AD20" i="9"/>
  <c r="AH19" i="9"/>
  <c r="AG19" i="9"/>
  <c r="AE19" i="9"/>
  <c r="AD19" i="9"/>
  <c r="AH18" i="9"/>
  <c r="AG18" i="9"/>
  <c r="AE18" i="9"/>
  <c r="AD18" i="9"/>
  <c r="AH17" i="9"/>
  <c r="AG17" i="9"/>
  <c r="AI17" i="9" s="1"/>
  <c r="AE17" i="9"/>
  <c r="AD17" i="9"/>
  <c r="AH16" i="9"/>
  <c r="AG16" i="9"/>
  <c r="AI16" i="9" s="1"/>
  <c r="AE16" i="9"/>
  <c r="AD16" i="9"/>
  <c r="AF16" i="9" s="1"/>
  <c r="AH15" i="9"/>
  <c r="AG15" i="9"/>
  <c r="AI15" i="9" s="1"/>
  <c r="AE15" i="9"/>
  <c r="AD15" i="9"/>
  <c r="AH14" i="9"/>
  <c r="AG14" i="9"/>
  <c r="AE14" i="9"/>
  <c r="AD14" i="9"/>
  <c r="AF14" i="9" s="1"/>
  <c r="AH13" i="9"/>
  <c r="AG13" i="9"/>
  <c r="AE13" i="9"/>
  <c r="AD13" i="9"/>
  <c r="AH12" i="9"/>
  <c r="AG12" i="9"/>
  <c r="AE12" i="9"/>
  <c r="AD12" i="9"/>
  <c r="AH11" i="9"/>
  <c r="AG11" i="9"/>
  <c r="AE11" i="9"/>
  <c r="AD11" i="9"/>
  <c r="AL41" i="8"/>
  <c r="AK41" i="8"/>
  <c r="AJ41" i="8"/>
  <c r="AI41" i="8"/>
  <c r="AH41" i="8"/>
  <c r="AG41" i="8"/>
  <c r="AF41" i="8"/>
  <c r="AE41" i="8"/>
  <c r="AD41" i="8"/>
  <c r="AH40" i="8"/>
  <c r="AG40" i="8"/>
  <c r="AI40" i="8" s="1"/>
  <c r="AE40" i="8"/>
  <c r="AD40" i="8"/>
  <c r="AH39" i="8"/>
  <c r="AG39" i="8"/>
  <c r="AI39" i="8" s="1"/>
  <c r="AE39" i="8"/>
  <c r="AF39" i="8" s="1"/>
  <c r="AD39" i="8"/>
  <c r="AH38" i="8"/>
  <c r="AG38" i="8"/>
  <c r="AI38" i="8" s="1"/>
  <c r="AE38" i="8"/>
  <c r="AD38" i="8"/>
  <c r="AH37" i="8"/>
  <c r="AG37" i="8"/>
  <c r="AI37" i="8" s="1"/>
  <c r="AE37" i="8"/>
  <c r="AD37" i="8"/>
  <c r="AF37" i="8" s="1"/>
  <c r="AH36" i="8"/>
  <c r="AG36" i="8"/>
  <c r="AF36" i="8"/>
  <c r="AE36" i="8"/>
  <c r="AD36" i="8"/>
  <c r="AH35" i="8"/>
  <c r="AG35" i="8"/>
  <c r="AE35" i="8"/>
  <c r="AD35" i="8"/>
  <c r="AH34" i="8"/>
  <c r="AG34" i="8"/>
  <c r="AE34" i="8"/>
  <c r="AF34" i="8" s="1"/>
  <c r="AD34" i="8"/>
  <c r="AH33" i="8"/>
  <c r="AG33" i="8"/>
  <c r="AE33" i="8"/>
  <c r="AD33" i="8"/>
  <c r="AF33" i="8" s="1"/>
  <c r="AH32" i="8"/>
  <c r="AG32" i="8"/>
  <c r="AI32" i="8" s="1"/>
  <c r="AE32" i="8"/>
  <c r="AD32" i="8"/>
  <c r="AH31" i="8"/>
  <c r="AG31" i="8"/>
  <c r="AE31" i="8"/>
  <c r="AF31" i="8" s="1"/>
  <c r="AD31" i="8"/>
  <c r="AH30" i="8"/>
  <c r="AI30" i="8" s="1"/>
  <c r="AG30" i="8"/>
  <c r="AE30" i="8"/>
  <c r="AD30" i="8"/>
  <c r="AF30" i="8" s="1"/>
  <c r="AH29" i="8"/>
  <c r="AG29" i="8"/>
  <c r="AE29" i="8"/>
  <c r="AD29" i="8"/>
  <c r="AF29" i="8" s="1"/>
  <c r="AH28" i="8"/>
  <c r="AG28" i="8"/>
  <c r="AE28" i="8"/>
  <c r="AD28" i="8"/>
  <c r="AH27" i="8"/>
  <c r="AG27" i="8"/>
  <c r="AE27" i="8"/>
  <c r="AD27" i="8"/>
  <c r="AF27" i="8" s="1"/>
  <c r="AH26" i="8"/>
  <c r="AG26" i="8"/>
  <c r="AE26" i="8"/>
  <c r="AD26" i="8"/>
  <c r="AF26" i="8" s="1"/>
  <c r="AH25" i="8"/>
  <c r="AG25" i="8"/>
  <c r="AI25" i="8" s="1"/>
  <c r="AE25" i="8"/>
  <c r="AD25" i="8"/>
  <c r="AF25" i="8" s="1"/>
  <c r="AH24" i="8"/>
  <c r="AG24" i="8"/>
  <c r="AE24" i="8"/>
  <c r="AD24" i="8"/>
  <c r="AH23" i="8"/>
  <c r="AG23" i="8"/>
  <c r="AI23" i="8" s="1"/>
  <c r="AE23" i="8"/>
  <c r="AD23" i="8"/>
  <c r="AH22" i="8"/>
  <c r="AG22" i="8"/>
  <c r="AE22" i="8"/>
  <c r="AD22" i="8"/>
  <c r="AH21" i="8"/>
  <c r="AG21" i="8"/>
  <c r="AI21" i="8" s="1"/>
  <c r="AE21" i="8"/>
  <c r="AD21" i="8"/>
  <c r="AF21" i="8" s="1"/>
  <c r="AH20" i="8"/>
  <c r="AG20" i="8"/>
  <c r="AE20" i="8"/>
  <c r="AF20" i="8" s="1"/>
  <c r="AD20" i="8"/>
  <c r="AH19" i="8"/>
  <c r="AG19" i="8"/>
  <c r="AE19" i="8"/>
  <c r="AF19" i="8" s="1"/>
  <c r="AD19" i="8"/>
  <c r="AH18" i="8"/>
  <c r="AG18" i="8"/>
  <c r="AI18" i="8" s="1"/>
  <c r="AE18" i="8"/>
  <c r="AD18" i="8"/>
  <c r="AH17" i="8"/>
  <c r="AG17" i="8"/>
  <c r="AI17" i="8" s="1"/>
  <c r="AE17" i="8"/>
  <c r="AD17" i="8"/>
  <c r="AH16" i="8"/>
  <c r="AG16" i="8"/>
  <c r="AE16" i="8"/>
  <c r="AD16" i="8"/>
  <c r="AH15" i="8"/>
  <c r="AG15" i="8"/>
  <c r="AE15" i="8"/>
  <c r="AD15" i="8"/>
  <c r="AH14" i="8"/>
  <c r="AG14" i="8"/>
  <c r="AE14" i="8"/>
  <c r="AD14" i="8"/>
  <c r="AH13" i="8"/>
  <c r="AG13" i="8"/>
  <c r="AE13" i="8"/>
  <c r="AD13" i="8"/>
  <c r="AF13" i="8" s="1"/>
  <c r="AH12" i="8"/>
  <c r="AG12" i="8"/>
  <c r="AE12" i="8"/>
  <c r="AD12" i="8"/>
  <c r="AF12" i="8" s="1"/>
  <c r="AH11" i="8"/>
  <c r="AG11" i="8"/>
  <c r="AE11" i="8"/>
  <c r="AD11" i="8"/>
  <c r="AH41" i="10"/>
  <c r="AG41" i="10"/>
  <c r="AI41" i="10" s="1"/>
  <c r="AE41" i="10"/>
  <c r="AD41" i="10"/>
  <c r="AF41" i="10" s="1"/>
  <c r="AH40" i="10"/>
  <c r="AG40" i="10"/>
  <c r="AI40" i="10" s="1"/>
  <c r="AE40" i="10"/>
  <c r="AD40" i="10"/>
  <c r="AF40" i="10" s="1"/>
  <c r="AH39" i="10"/>
  <c r="AG39" i="10"/>
  <c r="AI39" i="10" s="1"/>
  <c r="AF39" i="10"/>
  <c r="AE39" i="10"/>
  <c r="AD39" i="10"/>
  <c r="AH38" i="10"/>
  <c r="AG38" i="10"/>
  <c r="AI38" i="10" s="1"/>
  <c r="AE38" i="10"/>
  <c r="AD38" i="10"/>
  <c r="AF38" i="10" s="1"/>
  <c r="AH37" i="10"/>
  <c r="AG37" i="10"/>
  <c r="AE37" i="10"/>
  <c r="AD37" i="10"/>
  <c r="AH36" i="10"/>
  <c r="AG36" i="10"/>
  <c r="AI36" i="10" s="1"/>
  <c r="AE36" i="10"/>
  <c r="AF36" i="10" s="1"/>
  <c r="AD36" i="10"/>
  <c r="AH35" i="10"/>
  <c r="AG35" i="10"/>
  <c r="AI35" i="10" s="1"/>
  <c r="AF35" i="10"/>
  <c r="AE35" i="10"/>
  <c r="AD35" i="10"/>
  <c r="AH34" i="10"/>
  <c r="AG34" i="10"/>
  <c r="AI34" i="10" s="1"/>
  <c r="AE34" i="10"/>
  <c r="AD34" i="10"/>
  <c r="AF34" i="10" s="1"/>
  <c r="AH33" i="10"/>
  <c r="AG33" i="10"/>
  <c r="AI33" i="10" s="1"/>
  <c r="AE33" i="10"/>
  <c r="AD33" i="10"/>
  <c r="AH32" i="10"/>
  <c r="AG32" i="10"/>
  <c r="AI32" i="10" s="1"/>
  <c r="AE32" i="10"/>
  <c r="AD32" i="10"/>
  <c r="AH31" i="10"/>
  <c r="AG31" i="10"/>
  <c r="AI31" i="10" s="1"/>
  <c r="AE31" i="10"/>
  <c r="AD31" i="10"/>
  <c r="AF31" i="10" s="1"/>
  <c r="AH30" i="10"/>
  <c r="AG30" i="10"/>
  <c r="AE30" i="10"/>
  <c r="AD30" i="10"/>
  <c r="AH29" i="10"/>
  <c r="AG29" i="10"/>
  <c r="AE29" i="10"/>
  <c r="AD29" i="10"/>
  <c r="AF29" i="10" s="1"/>
  <c r="AH28" i="10"/>
  <c r="AI28" i="10" s="1"/>
  <c r="AG28" i="10"/>
  <c r="AE28" i="10"/>
  <c r="AF28" i="10" s="1"/>
  <c r="AD28" i="10"/>
  <c r="AH27" i="10"/>
  <c r="AI27" i="10" s="1"/>
  <c r="AG27" i="10"/>
  <c r="AF27" i="10"/>
  <c r="AE27" i="10"/>
  <c r="AD27" i="10"/>
  <c r="AH26" i="10"/>
  <c r="AG26" i="10"/>
  <c r="AI26" i="10" s="1"/>
  <c r="AE26" i="10"/>
  <c r="AD26" i="10"/>
  <c r="AF26" i="10" s="1"/>
  <c r="AH25" i="10"/>
  <c r="AG25" i="10"/>
  <c r="AI25" i="10" s="1"/>
  <c r="AE25" i="10"/>
  <c r="AD25" i="10"/>
  <c r="AF25" i="10" s="1"/>
  <c r="AH24" i="10"/>
  <c r="AG24" i="10"/>
  <c r="AI24" i="10" s="1"/>
  <c r="AE24" i="10"/>
  <c r="AD24" i="10"/>
  <c r="AF24" i="10" s="1"/>
  <c r="AH23" i="10"/>
  <c r="AG23" i="10"/>
  <c r="AI23" i="10" s="1"/>
  <c r="AE23" i="10"/>
  <c r="AF23" i="10" s="1"/>
  <c r="AD23" i="10"/>
  <c r="AH22" i="10"/>
  <c r="AG22" i="10"/>
  <c r="AI22" i="10" s="1"/>
  <c r="AE22" i="10"/>
  <c r="AF22" i="10" s="1"/>
  <c r="AD22" i="10"/>
  <c r="AH21" i="10"/>
  <c r="AG21" i="10"/>
  <c r="AI21" i="10" s="1"/>
  <c r="AE21" i="10"/>
  <c r="AD21" i="10"/>
  <c r="AF21" i="10" s="1"/>
  <c r="AH20" i="10"/>
  <c r="AG20" i="10"/>
  <c r="AI20" i="10" s="1"/>
  <c r="AE20" i="10"/>
  <c r="AF20" i="10" s="1"/>
  <c r="AD20" i="10"/>
  <c r="AH19" i="10"/>
  <c r="AG19" i="10"/>
  <c r="AI19" i="10" s="1"/>
  <c r="AF19" i="10"/>
  <c r="AE19" i="10"/>
  <c r="AD19" i="10"/>
  <c r="AH18" i="10"/>
  <c r="AG18" i="10"/>
  <c r="AI18" i="10" s="1"/>
  <c r="AE18" i="10"/>
  <c r="AD18" i="10"/>
  <c r="AF18" i="10" s="1"/>
  <c r="AH17" i="10"/>
  <c r="AG17" i="10"/>
  <c r="AI17" i="10" s="1"/>
  <c r="AE17" i="10"/>
  <c r="AD17" i="10"/>
  <c r="AF17" i="10" s="1"/>
  <c r="AH16" i="10"/>
  <c r="AI16" i="10" s="1"/>
  <c r="AG16" i="10"/>
  <c r="AF16" i="10"/>
  <c r="AE16" i="10"/>
  <c r="AD16" i="10"/>
  <c r="AH15" i="10"/>
  <c r="AG15" i="10"/>
  <c r="AI15" i="10" s="1"/>
  <c r="AE15" i="10"/>
  <c r="AD15" i="10"/>
  <c r="AF15" i="10" s="1"/>
  <c r="AH14" i="10"/>
  <c r="AG14" i="10"/>
  <c r="AI14" i="10" s="1"/>
  <c r="AE14" i="10"/>
  <c r="AD14" i="10"/>
  <c r="AF14" i="10" s="1"/>
  <c r="AH13" i="10"/>
  <c r="AG13" i="10"/>
  <c r="AI13" i="10" s="1"/>
  <c r="AF13" i="10"/>
  <c r="AE13" i="10"/>
  <c r="AD13" i="10"/>
  <c r="AH12" i="10"/>
  <c r="AG12" i="10"/>
  <c r="AI12" i="10" s="1"/>
  <c r="AE12" i="10"/>
  <c r="AD12" i="10"/>
  <c r="AF12" i="10" s="1"/>
  <c r="AH11" i="10"/>
  <c r="AG11" i="10"/>
  <c r="AI11" i="10" s="1"/>
  <c r="AF11" i="10"/>
  <c r="AE11" i="10"/>
  <c r="AD11" i="10"/>
  <c r="AL41" i="4"/>
  <c r="AK41" i="4"/>
  <c r="AJ41" i="4"/>
  <c r="AI41" i="4"/>
  <c r="AH41" i="4"/>
  <c r="AG41" i="4"/>
  <c r="AF41" i="4"/>
  <c r="AE41" i="4"/>
  <c r="AD41" i="4"/>
  <c r="AL40" i="4"/>
  <c r="AK40" i="4"/>
  <c r="AJ40" i="4"/>
  <c r="AI40" i="4"/>
  <c r="AH40" i="4"/>
  <c r="AG40" i="4"/>
  <c r="AF40" i="4"/>
  <c r="AE40" i="4"/>
  <c r="AD40" i="4"/>
  <c r="AH39" i="4"/>
  <c r="AG39" i="4"/>
  <c r="AI39" i="4" s="1"/>
  <c r="AE39" i="4"/>
  <c r="AD39" i="4"/>
  <c r="AH38" i="4"/>
  <c r="AI38" i="4" s="1"/>
  <c r="AG38" i="4"/>
  <c r="AE38" i="4"/>
  <c r="AD38" i="4"/>
  <c r="AH37" i="4"/>
  <c r="AG37" i="4"/>
  <c r="AE37" i="4"/>
  <c r="AD37" i="4"/>
  <c r="AH36" i="4"/>
  <c r="AG36" i="4"/>
  <c r="AI36" i="4" s="1"/>
  <c r="AE36" i="4"/>
  <c r="AD36" i="4"/>
  <c r="AF36" i="4" s="1"/>
  <c r="AI35" i="4"/>
  <c r="AH35" i="4"/>
  <c r="AG35" i="4"/>
  <c r="AE35" i="4"/>
  <c r="AF35" i="4" s="1"/>
  <c r="AD35" i="4"/>
  <c r="AI34" i="4"/>
  <c r="AH34" i="4"/>
  <c r="AG34" i="4"/>
  <c r="AE34" i="4"/>
  <c r="AD34" i="4"/>
  <c r="AH33" i="4"/>
  <c r="AG33" i="4"/>
  <c r="AI33" i="4" s="1"/>
  <c r="AE33" i="4"/>
  <c r="AD33" i="4"/>
  <c r="AH32" i="4"/>
  <c r="AI32" i="4" s="1"/>
  <c r="AG32" i="4"/>
  <c r="AE32" i="4"/>
  <c r="AD32" i="4"/>
  <c r="AH31" i="4"/>
  <c r="AG31" i="4"/>
  <c r="AE31" i="4"/>
  <c r="AD31" i="4"/>
  <c r="AF31" i="4" s="1"/>
  <c r="AH30" i="4"/>
  <c r="AG30" i="4"/>
  <c r="AE30" i="4"/>
  <c r="AD30" i="4"/>
  <c r="AH29" i="4"/>
  <c r="AG29" i="4"/>
  <c r="AI29" i="4" s="1"/>
  <c r="AE29" i="4"/>
  <c r="AD29" i="4"/>
  <c r="AI28" i="4"/>
  <c r="AH28" i="4"/>
  <c r="AG28" i="4"/>
  <c r="AF28" i="4"/>
  <c r="AE28" i="4"/>
  <c r="AD28" i="4"/>
  <c r="AH27" i="4"/>
  <c r="AG27" i="4"/>
  <c r="AI27" i="4" s="1"/>
  <c r="AE27" i="4"/>
  <c r="AD27" i="4"/>
  <c r="AF27" i="4" s="1"/>
  <c r="AH26" i="4"/>
  <c r="AG26" i="4"/>
  <c r="AE26" i="4"/>
  <c r="AD26" i="4"/>
  <c r="AI25" i="4"/>
  <c r="AH25" i="4"/>
  <c r="AG25" i="4"/>
  <c r="AE25" i="4"/>
  <c r="AD25" i="4"/>
  <c r="AH24" i="4"/>
  <c r="AG24" i="4"/>
  <c r="AI24" i="4" s="1"/>
  <c r="AE24" i="4"/>
  <c r="AD24" i="4"/>
  <c r="AF24" i="4" s="1"/>
  <c r="AH23" i="4"/>
  <c r="AG23" i="4"/>
  <c r="AI23" i="4" s="1"/>
  <c r="AE23" i="4"/>
  <c r="AD23" i="4"/>
  <c r="AH22" i="4"/>
  <c r="AG22" i="4"/>
  <c r="AE22" i="4"/>
  <c r="AD22" i="4"/>
  <c r="AH21" i="4"/>
  <c r="AG21" i="4"/>
  <c r="AI21" i="4" s="1"/>
  <c r="AE21" i="4"/>
  <c r="AD21" i="4"/>
  <c r="AF21" i="4" s="1"/>
  <c r="AH20" i="4"/>
  <c r="AG20" i="4"/>
  <c r="AI20" i="4" s="1"/>
  <c r="AE20" i="4"/>
  <c r="AD20" i="4"/>
  <c r="AF20" i="4" s="1"/>
  <c r="AH19" i="4"/>
  <c r="AG19" i="4"/>
  <c r="AE19" i="4"/>
  <c r="AD19" i="4"/>
  <c r="AF19" i="4" s="1"/>
  <c r="AH18" i="4"/>
  <c r="AG18" i="4"/>
  <c r="AE18" i="4"/>
  <c r="AD18" i="4"/>
  <c r="AF18" i="4" s="1"/>
  <c r="AH17" i="4"/>
  <c r="AI17" i="4" s="1"/>
  <c r="AG17" i="4"/>
  <c r="AE17" i="4"/>
  <c r="AF17" i="4" s="1"/>
  <c r="AD17" i="4"/>
  <c r="AH16" i="4"/>
  <c r="AG16" i="4"/>
  <c r="AI16" i="4" s="1"/>
  <c r="AE16" i="4"/>
  <c r="AD16" i="4"/>
  <c r="AF16" i="4" s="1"/>
  <c r="AH15" i="4"/>
  <c r="AI15" i="4" s="1"/>
  <c r="AG15" i="4"/>
  <c r="AE15" i="4"/>
  <c r="AD15" i="4"/>
  <c r="AF15" i="4" s="1"/>
  <c r="AH14" i="4"/>
  <c r="AG14" i="4"/>
  <c r="AI14" i="4" s="1"/>
  <c r="AE14" i="4"/>
  <c r="AD14" i="4"/>
  <c r="AF14" i="4" s="1"/>
  <c r="AH13" i="4"/>
  <c r="AG13" i="4"/>
  <c r="AI13" i="4" s="1"/>
  <c r="AE13" i="4"/>
  <c r="AF13" i="4" s="1"/>
  <c r="AD13" i="4"/>
  <c r="AH12" i="4"/>
  <c r="AG12" i="4"/>
  <c r="AI12" i="4" s="1"/>
  <c r="AE12" i="4"/>
  <c r="AD12" i="4"/>
  <c r="AF12" i="4" s="1"/>
  <c r="AH11" i="4"/>
  <c r="AG11" i="4"/>
  <c r="AI11" i="4" s="1"/>
  <c r="AE11" i="4"/>
  <c r="AF11" i="4" s="1"/>
  <c r="AD11" i="4"/>
  <c r="AH41" i="5"/>
  <c r="AG41" i="5"/>
  <c r="AI41" i="5" s="1"/>
  <c r="AE41" i="5"/>
  <c r="AD41" i="5"/>
  <c r="AF41" i="5" s="1"/>
  <c r="AH40" i="5"/>
  <c r="AG40" i="5"/>
  <c r="AE40" i="5"/>
  <c r="AD40" i="5"/>
  <c r="AF40" i="5" s="1"/>
  <c r="AH39" i="5"/>
  <c r="AG39" i="5"/>
  <c r="AI39" i="5" s="1"/>
  <c r="AE39" i="5"/>
  <c r="AD39" i="5"/>
  <c r="AF39" i="5" s="1"/>
  <c r="AH38" i="5"/>
  <c r="AG38" i="5"/>
  <c r="AI38" i="5" s="1"/>
  <c r="AE38" i="5"/>
  <c r="AF38" i="5" s="1"/>
  <c r="AD38" i="5"/>
  <c r="AH37" i="5"/>
  <c r="AG37" i="5"/>
  <c r="AI37" i="5" s="1"/>
  <c r="AE37" i="5"/>
  <c r="AD37" i="5"/>
  <c r="AF37" i="5" s="1"/>
  <c r="AH36" i="5"/>
  <c r="AG36" i="5"/>
  <c r="AI36" i="5" s="1"/>
  <c r="AF36" i="5"/>
  <c r="AE36" i="5"/>
  <c r="AD36" i="5"/>
  <c r="AH35" i="5"/>
  <c r="AG35" i="5"/>
  <c r="AI35" i="5" s="1"/>
  <c r="AE35" i="5"/>
  <c r="AD35" i="5"/>
  <c r="AF35" i="5" s="1"/>
  <c r="AH34" i="5"/>
  <c r="AG34" i="5"/>
  <c r="AE34" i="5"/>
  <c r="AD34" i="5"/>
  <c r="AH33" i="5"/>
  <c r="AG33" i="5"/>
  <c r="AI33" i="5" s="1"/>
  <c r="AE33" i="5"/>
  <c r="AD33" i="5"/>
  <c r="AH32" i="5"/>
  <c r="AG32" i="5"/>
  <c r="AE32" i="5"/>
  <c r="AD32" i="5"/>
  <c r="AF32" i="5" s="1"/>
  <c r="AH31" i="5"/>
  <c r="AG31" i="5"/>
  <c r="AI31" i="5" s="1"/>
  <c r="AE31" i="5"/>
  <c r="AF31" i="5" s="1"/>
  <c r="AD31" i="5"/>
  <c r="AH30" i="5"/>
  <c r="AG30" i="5"/>
  <c r="AI30" i="5" s="1"/>
  <c r="AE30" i="5"/>
  <c r="AD30" i="5"/>
  <c r="AF30" i="5" s="1"/>
  <c r="AH29" i="5"/>
  <c r="AG29" i="5"/>
  <c r="AI29" i="5" s="1"/>
  <c r="AE29" i="5"/>
  <c r="AD29" i="5"/>
  <c r="AF29" i="5" s="1"/>
  <c r="AH28" i="5"/>
  <c r="AG28" i="5"/>
  <c r="AI28" i="5" s="1"/>
  <c r="AE28" i="5"/>
  <c r="AF28" i="5" s="1"/>
  <c r="AD28" i="5"/>
  <c r="AH27" i="5"/>
  <c r="AG27" i="5"/>
  <c r="AI27" i="5" s="1"/>
  <c r="AE27" i="5"/>
  <c r="AD27" i="5"/>
  <c r="AH26" i="5"/>
  <c r="AG26" i="5"/>
  <c r="AE26" i="5"/>
  <c r="AD26" i="5"/>
  <c r="AH25" i="5"/>
  <c r="AG25" i="5"/>
  <c r="AE25" i="5"/>
  <c r="AD25" i="5"/>
  <c r="AF25" i="5" s="1"/>
  <c r="AH24" i="5"/>
  <c r="AG24" i="5"/>
  <c r="AE24" i="5"/>
  <c r="AD24" i="5"/>
  <c r="AF24" i="5" s="1"/>
  <c r="AH23" i="5"/>
  <c r="AG23" i="5"/>
  <c r="AE23" i="5"/>
  <c r="AD23" i="5"/>
  <c r="AH22" i="5"/>
  <c r="AG22" i="5"/>
  <c r="AI22" i="5" s="1"/>
  <c r="AE22" i="5"/>
  <c r="AD22" i="5"/>
  <c r="AF22" i="5" s="1"/>
  <c r="AH21" i="5"/>
  <c r="AG21" i="5"/>
  <c r="AI21" i="5" s="1"/>
  <c r="AE21" i="5"/>
  <c r="AF21" i="5" s="1"/>
  <c r="AD21" i="5"/>
  <c r="AH20" i="5"/>
  <c r="AI20" i="5" s="1"/>
  <c r="AG20" i="5"/>
  <c r="AE20" i="5"/>
  <c r="AD20" i="5"/>
  <c r="AH19" i="5"/>
  <c r="AG19" i="5"/>
  <c r="AI19" i="5" s="1"/>
  <c r="AE19" i="5"/>
  <c r="AD19" i="5"/>
  <c r="AH18" i="5"/>
  <c r="AG18" i="5"/>
  <c r="AI18" i="5" s="1"/>
  <c r="AE18" i="5"/>
  <c r="AD18" i="5"/>
  <c r="AF18" i="5" s="1"/>
  <c r="AH17" i="5"/>
  <c r="AG17" i="5"/>
  <c r="AI17" i="5" s="1"/>
  <c r="AE17" i="5"/>
  <c r="AD17" i="5"/>
  <c r="AF17" i="5" s="1"/>
  <c r="AH16" i="5"/>
  <c r="AI16" i="5" s="1"/>
  <c r="AG16" i="5"/>
  <c r="AE16" i="5"/>
  <c r="AF16" i="5" s="1"/>
  <c r="AD16" i="5"/>
  <c r="AH15" i="5"/>
  <c r="AG15" i="5"/>
  <c r="AE15" i="5"/>
  <c r="AD15" i="5"/>
  <c r="AF15" i="5" s="1"/>
  <c r="AH14" i="5"/>
  <c r="AG14" i="5"/>
  <c r="AI14" i="5" s="1"/>
  <c r="AE14" i="5"/>
  <c r="AD14" i="5"/>
  <c r="AH13" i="5"/>
  <c r="AG13" i="5"/>
  <c r="AE13" i="5"/>
  <c r="AD13" i="5"/>
  <c r="AF13" i="5" s="1"/>
  <c r="AH12" i="5"/>
  <c r="AI12" i="5" s="1"/>
  <c r="AG12" i="5"/>
  <c r="AE12" i="5"/>
  <c r="AD12" i="5"/>
  <c r="AF12" i="5" s="1"/>
  <c r="AH11" i="5"/>
  <c r="AG11" i="5"/>
  <c r="AI11" i="5" s="1"/>
  <c r="AE11" i="5"/>
  <c r="AD11" i="5"/>
  <c r="AF11" i="5" s="1"/>
  <c r="AL41" i="6"/>
  <c r="AK41" i="6"/>
  <c r="AJ41" i="6"/>
  <c r="AI41" i="6"/>
  <c r="AH41" i="6"/>
  <c r="AG41" i="6"/>
  <c r="AF41" i="6"/>
  <c r="AE41" i="6"/>
  <c r="AD41" i="6"/>
  <c r="AH40" i="6"/>
  <c r="AG40" i="6"/>
  <c r="AI40" i="6" s="1"/>
  <c r="AE40" i="6"/>
  <c r="AD40" i="6"/>
  <c r="AF40" i="6" s="1"/>
  <c r="AH39" i="6"/>
  <c r="AG39" i="6"/>
  <c r="AE39" i="6"/>
  <c r="AD39" i="6"/>
  <c r="AF39" i="6" s="1"/>
  <c r="AH38" i="6"/>
  <c r="AI38" i="6" s="1"/>
  <c r="AG38" i="6"/>
  <c r="AE38" i="6"/>
  <c r="AD38" i="6"/>
  <c r="AF38" i="6" s="1"/>
  <c r="AH37" i="6"/>
  <c r="AG37" i="6"/>
  <c r="AE37" i="6"/>
  <c r="AD37" i="6"/>
  <c r="AH36" i="6"/>
  <c r="AG36" i="6"/>
  <c r="AE36" i="6"/>
  <c r="AD36" i="6"/>
  <c r="AH35" i="6"/>
  <c r="AG35" i="6"/>
  <c r="AE35" i="6"/>
  <c r="AD35" i="6"/>
  <c r="AF35" i="6" s="1"/>
  <c r="AH34" i="6"/>
  <c r="AG34" i="6"/>
  <c r="AI34" i="6" s="1"/>
  <c r="AE34" i="6"/>
  <c r="AD34" i="6"/>
  <c r="AI33" i="6"/>
  <c r="AH33" i="6"/>
  <c r="AG33" i="6"/>
  <c r="AE33" i="6"/>
  <c r="AF33" i="6" s="1"/>
  <c r="AD33" i="6"/>
  <c r="AH32" i="6"/>
  <c r="AG32" i="6"/>
  <c r="AE32" i="6"/>
  <c r="AD32" i="6"/>
  <c r="AF32" i="6" s="1"/>
  <c r="AH31" i="6"/>
  <c r="AG31" i="6"/>
  <c r="AI31" i="6" s="1"/>
  <c r="AE31" i="6"/>
  <c r="AD31" i="6"/>
  <c r="AH30" i="6"/>
  <c r="AI30" i="6" s="1"/>
  <c r="AG30" i="6"/>
  <c r="AE30" i="6"/>
  <c r="AD30" i="6"/>
  <c r="AF30" i="6" s="1"/>
  <c r="AH29" i="6"/>
  <c r="AG29" i="6"/>
  <c r="AI29" i="6" s="1"/>
  <c r="AE29" i="6"/>
  <c r="AD29" i="6"/>
  <c r="AF29" i="6" s="1"/>
  <c r="AH28" i="6"/>
  <c r="AG28" i="6"/>
  <c r="AI28" i="6" s="1"/>
  <c r="AE28" i="6"/>
  <c r="AF28" i="6" s="1"/>
  <c r="AD28" i="6"/>
  <c r="AH27" i="6"/>
  <c r="AG27" i="6"/>
  <c r="AI27" i="6" s="1"/>
  <c r="AE27" i="6"/>
  <c r="AD27" i="6"/>
  <c r="AF27" i="6" s="1"/>
  <c r="AH26" i="6"/>
  <c r="AG26" i="6"/>
  <c r="AI26" i="6" s="1"/>
  <c r="AE26" i="6"/>
  <c r="AF26" i="6" s="1"/>
  <c r="AD26" i="6"/>
  <c r="AH25" i="6"/>
  <c r="AG25" i="6"/>
  <c r="AE25" i="6"/>
  <c r="AD25" i="6"/>
  <c r="AH24" i="6"/>
  <c r="AG24" i="6"/>
  <c r="AI24" i="6" s="1"/>
  <c r="AE24" i="6"/>
  <c r="AD24" i="6"/>
  <c r="AF24" i="6" s="1"/>
  <c r="AH23" i="6"/>
  <c r="AG23" i="6"/>
  <c r="AI23" i="6" s="1"/>
  <c r="AE23" i="6"/>
  <c r="AD23" i="6"/>
  <c r="AH22" i="6"/>
  <c r="AG22" i="6"/>
  <c r="AE22" i="6"/>
  <c r="AD22" i="6"/>
  <c r="AF22" i="6" s="1"/>
  <c r="AH21" i="6"/>
  <c r="AG21" i="6"/>
  <c r="AE21" i="6"/>
  <c r="AD21" i="6"/>
  <c r="AH20" i="6"/>
  <c r="AG20" i="6"/>
  <c r="AI20" i="6" s="1"/>
  <c r="AE20" i="6"/>
  <c r="AD20" i="6"/>
  <c r="AF20" i="6" s="1"/>
  <c r="AH19" i="6"/>
  <c r="AI19" i="6" s="1"/>
  <c r="AG19" i="6"/>
  <c r="AE19" i="6"/>
  <c r="AF19" i="6" s="1"/>
  <c r="AD19" i="6"/>
  <c r="AH18" i="6"/>
  <c r="AG18" i="6"/>
  <c r="AE18" i="6"/>
  <c r="AD18" i="6"/>
  <c r="AH17" i="6"/>
  <c r="AG17" i="6"/>
  <c r="AI17" i="6" s="1"/>
  <c r="AE17" i="6"/>
  <c r="AD17" i="6"/>
  <c r="AH16" i="6"/>
  <c r="AG16" i="6"/>
  <c r="AI16" i="6" s="1"/>
  <c r="AE16" i="6"/>
  <c r="AD16" i="6"/>
  <c r="AH15" i="6"/>
  <c r="AG15" i="6"/>
  <c r="AI15" i="6" s="1"/>
  <c r="AE15" i="6"/>
  <c r="AD15" i="6"/>
  <c r="AI14" i="6"/>
  <c r="AH14" i="6"/>
  <c r="AG14" i="6"/>
  <c r="AE14" i="6"/>
  <c r="AD14" i="6"/>
  <c r="AH13" i="6"/>
  <c r="AG13" i="6"/>
  <c r="AE13" i="6"/>
  <c r="AD13" i="6"/>
  <c r="AF13" i="6" s="1"/>
  <c r="AH12" i="6"/>
  <c r="AG12" i="6"/>
  <c r="AE12" i="6"/>
  <c r="AD12" i="6"/>
  <c r="AH11" i="6"/>
  <c r="AG11" i="6"/>
  <c r="AI11" i="6" s="1"/>
  <c r="AE11" i="6"/>
  <c r="AD11" i="6"/>
  <c r="AL41" i="7"/>
  <c r="AK41" i="7"/>
  <c r="AJ41" i="7"/>
  <c r="AI41" i="7"/>
  <c r="AH41" i="7"/>
  <c r="AG41" i="7"/>
  <c r="AF41" i="7"/>
  <c r="AE41" i="7"/>
  <c r="AD41" i="7"/>
  <c r="AH40" i="7"/>
  <c r="AG40" i="7"/>
  <c r="AE40" i="7"/>
  <c r="AD40" i="7"/>
  <c r="AF40" i="7" s="1"/>
  <c r="AH39" i="7"/>
  <c r="AG39" i="7"/>
  <c r="AE39" i="7"/>
  <c r="AD39" i="7"/>
  <c r="AH38" i="7"/>
  <c r="AG38" i="7"/>
  <c r="AE38" i="7"/>
  <c r="AD38" i="7"/>
  <c r="AH37" i="7"/>
  <c r="AG37" i="7"/>
  <c r="AI37" i="7" s="1"/>
  <c r="AE37" i="7"/>
  <c r="AD37" i="7"/>
  <c r="AF37" i="7" s="1"/>
  <c r="AH36" i="7"/>
  <c r="AG36" i="7"/>
  <c r="AE36" i="7"/>
  <c r="AD36" i="7"/>
  <c r="AF36" i="7" s="1"/>
  <c r="AH35" i="7"/>
  <c r="AI35" i="7" s="1"/>
  <c r="AG35" i="7"/>
  <c r="AE35" i="7"/>
  <c r="AD35" i="7"/>
  <c r="AF35" i="7" s="1"/>
  <c r="AH34" i="7"/>
  <c r="AG34" i="7"/>
  <c r="AE34" i="7"/>
  <c r="AD34" i="7"/>
  <c r="AF34" i="7" s="1"/>
  <c r="AH33" i="7"/>
  <c r="AG33" i="7"/>
  <c r="AE33" i="7"/>
  <c r="AD33" i="7"/>
  <c r="AF33" i="7" s="1"/>
  <c r="AH32" i="7"/>
  <c r="AG32" i="7"/>
  <c r="AE32" i="7"/>
  <c r="AD32" i="7"/>
  <c r="AH31" i="7"/>
  <c r="AG31" i="7"/>
  <c r="AI31" i="7" s="1"/>
  <c r="AE31" i="7"/>
  <c r="AD31" i="7"/>
  <c r="AF31" i="7" s="1"/>
  <c r="AH30" i="7"/>
  <c r="AG30" i="7"/>
  <c r="AE30" i="7"/>
  <c r="AD30" i="7"/>
  <c r="AF30" i="7" s="1"/>
  <c r="AH29" i="7"/>
  <c r="AG29" i="7"/>
  <c r="AI29" i="7" s="1"/>
  <c r="AE29" i="7"/>
  <c r="AD29" i="7"/>
  <c r="AH28" i="7"/>
  <c r="AG28" i="7"/>
  <c r="AI28" i="7" s="1"/>
  <c r="AE28" i="7"/>
  <c r="AD28" i="7"/>
  <c r="AF28" i="7" s="1"/>
  <c r="AH27" i="7"/>
  <c r="AG27" i="7"/>
  <c r="AE27" i="7"/>
  <c r="AD27" i="7"/>
  <c r="AH26" i="7"/>
  <c r="AG26" i="7"/>
  <c r="AI26" i="7" s="1"/>
  <c r="AE26" i="7"/>
  <c r="AD26" i="7"/>
  <c r="AH25" i="7"/>
  <c r="AG25" i="7"/>
  <c r="AE25" i="7"/>
  <c r="AD25" i="7"/>
  <c r="AF25" i="7" s="1"/>
  <c r="AH24" i="7"/>
  <c r="AG24" i="7"/>
  <c r="AE24" i="7"/>
  <c r="AD24" i="7"/>
  <c r="AH23" i="7"/>
  <c r="AG23" i="7"/>
  <c r="AI23" i="7" s="1"/>
  <c r="AE23" i="7"/>
  <c r="AD23" i="7"/>
  <c r="AF23" i="7" s="1"/>
  <c r="AH22" i="7"/>
  <c r="AG22" i="7"/>
  <c r="AE22" i="7"/>
  <c r="AD22" i="7"/>
  <c r="AH21" i="7"/>
  <c r="AG21" i="7"/>
  <c r="AI21" i="7" s="1"/>
  <c r="AE21" i="7"/>
  <c r="AD21" i="7"/>
  <c r="AF21" i="7" s="1"/>
  <c r="AH20" i="7"/>
  <c r="AG20" i="7"/>
  <c r="AI20" i="7" s="1"/>
  <c r="AE20" i="7"/>
  <c r="AF20" i="7" s="1"/>
  <c r="AD20" i="7"/>
  <c r="AH19" i="7"/>
  <c r="AG19" i="7"/>
  <c r="AE19" i="7"/>
  <c r="AD19" i="7"/>
  <c r="AH18" i="7"/>
  <c r="AG18" i="7"/>
  <c r="AE18" i="7"/>
  <c r="AF18" i="7" s="1"/>
  <c r="AD18" i="7"/>
  <c r="AH17" i="7"/>
  <c r="AG17" i="7"/>
  <c r="AE17" i="7"/>
  <c r="AD17" i="7"/>
  <c r="AH16" i="7"/>
  <c r="AG16" i="7"/>
  <c r="AE16" i="7"/>
  <c r="AD16" i="7"/>
  <c r="AF16" i="7" s="1"/>
  <c r="AH15" i="7"/>
  <c r="AI15" i="7" s="1"/>
  <c r="AG15" i="7"/>
  <c r="AE15" i="7"/>
  <c r="AD15" i="7"/>
  <c r="AH14" i="7"/>
  <c r="AG14" i="7"/>
  <c r="AE14" i="7"/>
  <c r="AD14" i="7"/>
  <c r="AH13" i="7"/>
  <c r="AG13" i="7"/>
  <c r="AE13" i="7"/>
  <c r="AD13" i="7"/>
  <c r="AH12" i="7"/>
  <c r="AG12" i="7"/>
  <c r="AE12" i="7"/>
  <c r="AD12" i="7"/>
  <c r="AH11" i="7"/>
  <c r="AG11" i="7"/>
  <c r="AE11" i="7"/>
  <c r="AD11" i="7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D14" i="1"/>
  <c r="AD15" i="1"/>
  <c r="AD16" i="1"/>
  <c r="AD17" i="1"/>
  <c r="AD18" i="1"/>
  <c r="AF18" i="1" s="1"/>
  <c r="AD19" i="1"/>
  <c r="AF19" i="1" s="1"/>
  <c r="AD20" i="1"/>
  <c r="AD21" i="1"/>
  <c r="AD22" i="1"/>
  <c r="AF22" i="1" s="1"/>
  <c r="AD23" i="1"/>
  <c r="AD24" i="1"/>
  <c r="AD25" i="1"/>
  <c r="AF25" i="1" s="1"/>
  <c r="AD26" i="1"/>
  <c r="AF26" i="1" s="1"/>
  <c r="AD27" i="1"/>
  <c r="AD28" i="1"/>
  <c r="AF28" i="1" s="1"/>
  <c r="AD29" i="1"/>
  <c r="AD30" i="1"/>
  <c r="AF30" i="1" s="1"/>
  <c r="AD31" i="1"/>
  <c r="AD32" i="1"/>
  <c r="AF32" i="1" s="1"/>
  <c r="AD33" i="1"/>
  <c r="AD34" i="1"/>
  <c r="AD35" i="1"/>
  <c r="AF35" i="1" s="1"/>
  <c r="AD36" i="1"/>
  <c r="AF36" i="1" s="1"/>
  <c r="AD37" i="1"/>
  <c r="AF37" i="1" s="1"/>
  <c r="AD38" i="1"/>
  <c r="AD39" i="1"/>
  <c r="AD40" i="1"/>
  <c r="AF40" i="1" s="1"/>
  <c r="AD41" i="1"/>
  <c r="AF41" i="1" s="1"/>
  <c r="AE11" i="1"/>
  <c r="AE12" i="1"/>
  <c r="AD11" i="1"/>
  <c r="AD12" i="1"/>
  <c r="AF12" i="1" s="1"/>
  <c r="AF38" i="1"/>
  <c r="AF11" i="1"/>
  <c r="AI38" i="1"/>
  <c r="AG14" i="1"/>
  <c r="AG15" i="1"/>
  <c r="AG16" i="1"/>
  <c r="AI16" i="1" s="1"/>
  <c r="AG17" i="1"/>
  <c r="AG18" i="1"/>
  <c r="AI18" i="1" s="1"/>
  <c r="AG19" i="1"/>
  <c r="AG20" i="1"/>
  <c r="AG21" i="1"/>
  <c r="AG22" i="1"/>
  <c r="AG23" i="1"/>
  <c r="AG24" i="1"/>
  <c r="AI24" i="1" s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I36" i="1" s="1"/>
  <c r="AG37" i="1"/>
  <c r="AI37" i="1" s="1"/>
  <c r="AG38" i="1"/>
  <c r="AG39" i="1"/>
  <c r="AG40" i="1"/>
  <c r="AG41" i="1"/>
  <c r="AI41" i="1" s="1"/>
  <c r="AH14" i="1"/>
  <c r="AH15" i="1"/>
  <c r="AH16" i="1"/>
  <c r="AH17" i="1"/>
  <c r="AH18" i="1"/>
  <c r="AH19" i="1"/>
  <c r="AH20" i="1"/>
  <c r="AI20" i="1" s="1"/>
  <c r="AH21" i="1"/>
  <c r="AH22" i="1"/>
  <c r="AH23" i="1"/>
  <c r="AH24" i="1"/>
  <c r="AH25" i="1"/>
  <c r="AH26" i="1"/>
  <c r="AI26" i="1" s="1"/>
  <c r="AH27" i="1"/>
  <c r="AH28" i="1"/>
  <c r="AH29" i="1"/>
  <c r="AH30" i="1"/>
  <c r="AH31" i="1"/>
  <c r="AH32" i="1"/>
  <c r="AH33" i="1"/>
  <c r="AH34" i="1"/>
  <c r="AI34" i="1" s="1"/>
  <c r="AH35" i="1"/>
  <c r="AH36" i="1"/>
  <c r="AH37" i="1"/>
  <c r="AH38" i="1"/>
  <c r="AH39" i="1"/>
  <c r="AI39" i="1" s="1"/>
  <c r="AH40" i="1"/>
  <c r="AH41" i="1"/>
  <c r="AH11" i="1"/>
  <c r="AH12" i="1"/>
  <c r="AD13" i="1"/>
  <c r="AG11" i="1"/>
  <c r="AG12" i="1"/>
  <c r="AH13" i="1"/>
  <c r="AG13" i="1"/>
  <c r="AE13" i="1"/>
  <c r="F8" i="10"/>
  <c r="AF22" i="15" l="1"/>
  <c r="AF22" i="14"/>
  <c r="AI36" i="12"/>
  <c r="AF41" i="9"/>
  <c r="AF20" i="9"/>
  <c r="AF23" i="1"/>
  <c r="AF18" i="8"/>
  <c r="AI27" i="7"/>
  <c r="AF37" i="6"/>
  <c r="AI37" i="6"/>
  <c r="AF16" i="6"/>
  <c r="AF23" i="5"/>
  <c r="AF26" i="5"/>
  <c r="AF14" i="5"/>
  <c r="AF39" i="4"/>
  <c r="AF33" i="10"/>
  <c r="AF30" i="10"/>
  <c r="AF16" i="14"/>
  <c r="AF40" i="8"/>
  <c r="AF22" i="8"/>
  <c r="AF14" i="6"/>
  <c r="AI23" i="5"/>
  <c r="AI31" i="4"/>
  <c r="AF32" i="10"/>
  <c r="AI30" i="10"/>
  <c r="AI14" i="16"/>
  <c r="AI25" i="16"/>
  <c r="AI28" i="16"/>
  <c r="AI31" i="16"/>
  <c r="AI34" i="16"/>
  <c r="AI39" i="16"/>
  <c r="AF20" i="16"/>
  <c r="AF40" i="16"/>
  <c r="AF18" i="16"/>
  <c r="AI29" i="16"/>
  <c r="AI32" i="16"/>
  <c r="AF16" i="16"/>
  <c r="AF27" i="16"/>
  <c r="AF30" i="16"/>
  <c r="AF33" i="16"/>
  <c r="AI35" i="16"/>
  <c r="AI38" i="16"/>
  <c r="AF19" i="16"/>
  <c r="AF14" i="16"/>
  <c r="AF22" i="16"/>
  <c r="AF25" i="16"/>
  <c r="AF28" i="16"/>
  <c r="AF31" i="16"/>
  <c r="AF34" i="16"/>
  <c r="AF19" i="15"/>
  <c r="AF25" i="15"/>
  <c r="AF33" i="15"/>
  <c r="AI13" i="15"/>
  <c r="AI30" i="15"/>
  <c r="AI33" i="15"/>
  <c r="AF34" i="15"/>
  <c r="AF26" i="15"/>
  <c r="AI39" i="15"/>
  <c r="AI34" i="15"/>
  <c r="AF21" i="15"/>
  <c r="AF24" i="15"/>
  <c r="AI15" i="15"/>
  <c r="AI21" i="15"/>
  <c r="AI24" i="15"/>
  <c r="AF13" i="15"/>
  <c r="AF24" i="12"/>
  <c r="AF33" i="12"/>
  <c r="AI38" i="12"/>
  <c r="AI12" i="12"/>
  <c r="AI24" i="12"/>
  <c r="AF13" i="12"/>
  <c r="AF19" i="12"/>
  <c r="AF22" i="12"/>
  <c r="AF25" i="12"/>
  <c r="AI27" i="12"/>
  <c r="AI33" i="12"/>
  <c r="AI25" i="12"/>
  <c r="AI31" i="12"/>
  <c r="AI40" i="12"/>
  <c r="AI20" i="12"/>
  <c r="AF12" i="9"/>
  <c r="AF18" i="9"/>
  <c r="AI29" i="9"/>
  <c r="AI32" i="9"/>
  <c r="AI12" i="9"/>
  <c r="AI24" i="9"/>
  <c r="AF19" i="9"/>
  <c r="AI22" i="9"/>
  <c r="AI25" i="9"/>
  <c r="AF17" i="9"/>
  <c r="AF23" i="9"/>
  <c r="AI33" i="1"/>
  <c r="AI21" i="1"/>
  <c r="AI32" i="1"/>
  <c r="AF17" i="1"/>
  <c r="AI19" i="1"/>
  <c r="AF16" i="1"/>
  <c r="AF39" i="1"/>
  <c r="AI17" i="1"/>
  <c r="AF14" i="1"/>
  <c r="AI28" i="1"/>
  <c r="AF33" i="1"/>
  <c r="AF21" i="1"/>
  <c r="AI27" i="1"/>
  <c r="AI15" i="1"/>
  <c r="AI12" i="1"/>
  <c r="AI25" i="1"/>
  <c r="AF34" i="1"/>
  <c r="AI35" i="1"/>
  <c r="AI23" i="1"/>
  <c r="AI22" i="1"/>
  <c r="AF31" i="1"/>
  <c r="AF38" i="8"/>
  <c r="AF16" i="8"/>
  <c r="AI27" i="8"/>
  <c r="AI19" i="8"/>
  <c r="AI22" i="8"/>
  <c r="AF28" i="8"/>
  <c r="AF14" i="8"/>
  <c r="AF17" i="8"/>
  <c r="AI31" i="8"/>
  <c r="AI11" i="8"/>
  <c r="AI35" i="8"/>
  <c r="AI33" i="8"/>
  <c r="AF15" i="8"/>
  <c r="AI15" i="8"/>
  <c r="AI20" i="8"/>
  <c r="AI28" i="8"/>
  <c r="AI36" i="8"/>
  <c r="AI34" i="8"/>
  <c r="AI13" i="8"/>
  <c r="AI26" i="8"/>
  <c r="AI29" i="8"/>
  <c r="AF32" i="8"/>
  <c r="AF35" i="8"/>
  <c r="AF11" i="8"/>
  <c r="AI12" i="8"/>
  <c r="AF17" i="7"/>
  <c r="AI22" i="7"/>
  <c r="AI25" i="7"/>
  <c r="AF29" i="7"/>
  <c r="AF12" i="7"/>
  <c r="AF15" i="7"/>
  <c r="AI12" i="7"/>
  <c r="AF24" i="7"/>
  <c r="AF13" i="7"/>
  <c r="AI30" i="7"/>
  <c r="AI13" i="7"/>
  <c r="AI16" i="7"/>
  <c r="AF22" i="7"/>
  <c r="AI36" i="7"/>
  <c r="AF15" i="6"/>
  <c r="AF18" i="6"/>
  <c r="AF21" i="6"/>
  <c r="AF34" i="6"/>
  <c r="AI18" i="6"/>
  <c r="AI32" i="6"/>
  <c r="AF11" i="6"/>
  <c r="AF25" i="6"/>
  <c r="AI35" i="6"/>
  <c r="AI22" i="6"/>
  <c r="AF23" i="6"/>
  <c r="AF31" i="6"/>
  <c r="AF36" i="6"/>
  <c r="AF12" i="6"/>
  <c r="AF17" i="6"/>
  <c r="AI36" i="6"/>
  <c r="AI39" i="6"/>
  <c r="AI15" i="5"/>
  <c r="AI26" i="5"/>
  <c r="AI32" i="5"/>
  <c r="AI40" i="5"/>
  <c r="AF27" i="5"/>
  <c r="AI13" i="5"/>
  <c r="AF19" i="5"/>
  <c r="AI24" i="5"/>
  <c r="AF20" i="5"/>
  <c r="AI25" i="5"/>
  <c r="AF34" i="5"/>
  <c r="AI34" i="5"/>
  <c r="AF32" i="4"/>
  <c r="AF33" i="4"/>
  <c r="AF34" i="4"/>
  <c r="AI19" i="4"/>
  <c r="AF22" i="4"/>
  <c r="AF25" i="4"/>
  <c r="AF30" i="4"/>
  <c r="AF38" i="4"/>
  <c r="AF23" i="4"/>
  <c r="AI30" i="4"/>
  <c r="AI18" i="4"/>
  <c r="AF26" i="4"/>
  <c r="AI26" i="4"/>
  <c r="AF29" i="4"/>
  <c r="AF37" i="10"/>
  <c r="AI37" i="10"/>
  <c r="AI35" i="12"/>
  <c r="AF12" i="12"/>
  <c r="AF11" i="9"/>
  <c r="AI40" i="1"/>
  <c r="AI13" i="1"/>
  <c r="AF13" i="1"/>
  <c r="AI24" i="8"/>
  <c r="AF24" i="8"/>
  <c r="AF23" i="8"/>
  <c r="AI16" i="8"/>
  <c r="AI14" i="8"/>
  <c r="AI11" i="1"/>
  <c r="AF12" i="16"/>
  <c r="AI11" i="7"/>
  <c r="AI12" i="6"/>
  <c r="AI29" i="10"/>
  <c r="AI13" i="6"/>
  <c r="AI22" i="4"/>
  <c r="AI25" i="6"/>
  <c r="AI19" i="12"/>
  <c r="AI17" i="14"/>
  <c r="AI14" i="15"/>
  <c r="AI12" i="16"/>
  <c r="AF37" i="16"/>
  <c r="AI37" i="16"/>
  <c r="AI23" i="16"/>
  <c r="AF21" i="16"/>
  <c r="AI22" i="16"/>
  <c r="AF23" i="16"/>
  <c r="AI15" i="16"/>
  <c r="AI37" i="15"/>
  <c r="AF39" i="15"/>
  <c r="AI32" i="15"/>
  <c r="AI31" i="15"/>
  <c r="AI23" i="15"/>
  <c r="AI16" i="15"/>
  <c r="AF17" i="15"/>
  <c r="AI18" i="15"/>
  <c r="AF28" i="14"/>
  <c r="AF19" i="14"/>
  <c r="AI21" i="14"/>
  <c r="AF13" i="14"/>
  <c r="AI30" i="12"/>
  <c r="AF30" i="12"/>
  <c r="AI29" i="12"/>
  <c r="AF14" i="12"/>
  <c r="AI38" i="9"/>
  <c r="AF39" i="9"/>
  <c r="AI39" i="9"/>
  <c r="AI18" i="9"/>
  <c r="AF15" i="9"/>
  <c r="AF39" i="7"/>
  <c r="AI39" i="7"/>
  <c r="AF38" i="7"/>
  <c r="AI32" i="7"/>
  <c r="AI24" i="7"/>
  <c r="AF19" i="7"/>
  <c r="AI19" i="7"/>
  <c r="AI21" i="6"/>
  <c r="AF33" i="5"/>
  <c r="AF37" i="4"/>
  <c r="AI37" i="4"/>
  <c r="AF38" i="15"/>
  <c r="AF31" i="15"/>
  <c r="AF23" i="15"/>
  <c r="AF20" i="15"/>
  <c r="AI20" i="15"/>
  <c r="AF18" i="15"/>
  <c r="AF16" i="15"/>
  <c r="AI12" i="15"/>
  <c r="AF12" i="15"/>
  <c r="AI41" i="14"/>
  <c r="AF41" i="14"/>
  <c r="AF40" i="14"/>
  <c r="AI14" i="14"/>
  <c r="AF15" i="14"/>
  <c r="AF23" i="14"/>
  <c r="AF26" i="14"/>
  <c r="AF37" i="14"/>
  <c r="AI23" i="14"/>
  <c r="AI30" i="14"/>
  <c r="AI37" i="14"/>
  <c r="AI40" i="14"/>
  <c r="AI13" i="14"/>
  <c r="AI22" i="14"/>
  <c r="AI29" i="14"/>
  <c r="AF30" i="14"/>
  <c r="AF20" i="14"/>
  <c r="AF27" i="14"/>
  <c r="AI34" i="14"/>
  <c r="AF14" i="14"/>
  <c r="AF21" i="14"/>
  <c r="AF35" i="14"/>
  <c r="AI19" i="14"/>
  <c r="AI28" i="14"/>
  <c r="AI35" i="14"/>
  <c r="AI36" i="14"/>
  <c r="AI27" i="14"/>
  <c r="AF34" i="14"/>
  <c r="AI33" i="14"/>
  <c r="AF33" i="14"/>
  <c r="AF29" i="14"/>
  <c r="AI26" i="14"/>
  <c r="AI20" i="14"/>
  <c r="AI16" i="14"/>
  <c r="AI15" i="14"/>
  <c r="AF12" i="14"/>
  <c r="AF38" i="12"/>
  <c r="AF16" i="12"/>
  <c r="AF23" i="12"/>
  <c r="AI16" i="12"/>
  <c r="AF17" i="12"/>
  <c r="AI37" i="12"/>
  <c r="AF31" i="12"/>
  <c r="AF18" i="12"/>
  <c r="AF21" i="12"/>
  <c r="AF35" i="12"/>
  <c r="AI11" i="12"/>
  <c r="AI14" i="12"/>
  <c r="AI18" i="12"/>
  <c r="AI28" i="12"/>
  <c r="AI32" i="12"/>
  <c r="AF39" i="12"/>
  <c r="AF29" i="12"/>
  <c r="AI39" i="12"/>
  <c r="AI22" i="12"/>
  <c r="AF32" i="12"/>
  <c r="AF28" i="12"/>
  <c r="AI21" i="12"/>
  <c r="AI17" i="12"/>
  <c r="AI15" i="12"/>
  <c r="AF15" i="12"/>
  <c r="AF11" i="12"/>
  <c r="AI41" i="9"/>
  <c r="AF33" i="9"/>
  <c r="AI33" i="9"/>
  <c r="AI34" i="9"/>
  <c r="AF15" i="1"/>
  <c r="AF20" i="1"/>
  <c r="AF27" i="1"/>
  <c r="AI31" i="1"/>
  <c r="AI30" i="1"/>
  <c r="AF32" i="9"/>
  <c r="AI35" i="9"/>
  <c r="AI27" i="9"/>
  <c r="AF28" i="9"/>
  <c r="AF26" i="9"/>
  <c r="AF21" i="9"/>
  <c r="AI21" i="9"/>
  <c r="AI19" i="9"/>
  <c r="AI14" i="1"/>
  <c r="AF13" i="9"/>
  <c r="AI13" i="9"/>
  <c r="AI11" i="9"/>
  <c r="AI14" i="9"/>
  <c r="AI14" i="7"/>
  <c r="AI17" i="7"/>
  <c r="AI33" i="7"/>
  <c r="AF27" i="7"/>
  <c r="AI40" i="7"/>
  <c r="AF14" i="7"/>
  <c r="AI18" i="7"/>
  <c r="AI34" i="7"/>
  <c r="AF11" i="7"/>
  <c r="AF32" i="7"/>
  <c r="AI38" i="7"/>
  <c r="AF26" i="7"/>
  <c r="AF29" i="1"/>
  <c r="AF24" i="1"/>
  <c r="AI29" i="1"/>
  <c r="H1" i="16" l="1"/>
  <c r="F8" i="16" s="1"/>
  <c r="L12" i="12" l="1"/>
  <c r="M12" i="12"/>
  <c r="L13" i="12"/>
  <c r="M13" i="12"/>
  <c r="L14" i="12"/>
  <c r="M14" i="12"/>
  <c r="L15" i="12"/>
  <c r="M15" i="12"/>
  <c r="L16" i="12"/>
  <c r="M16" i="12"/>
  <c r="L17" i="12"/>
  <c r="M17" i="12"/>
  <c r="L18" i="12"/>
  <c r="M18" i="12"/>
  <c r="L19" i="12"/>
  <c r="M19" i="12"/>
  <c r="L20" i="12"/>
  <c r="M20" i="12"/>
  <c r="L21" i="12"/>
  <c r="M21" i="12"/>
  <c r="L22" i="12"/>
  <c r="M22" i="12"/>
  <c r="L23" i="12"/>
  <c r="M23" i="12"/>
  <c r="L24" i="12"/>
  <c r="M24" i="12"/>
  <c r="L25" i="12"/>
  <c r="M25" i="12"/>
  <c r="L26" i="12"/>
  <c r="M26" i="12"/>
  <c r="L27" i="12"/>
  <c r="M27" i="12"/>
  <c r="L28" i="12"/>
  <c r="M28" i="12"/>
  <c r="L29" i="12"/>
  <c r="M29" i="12"/>
  <c r="H1" i="15"/>
  <c r="F8" i="15" s="1"/>
  <c r="H1" i="14"/>
  <c r="F8" i="14" s="1"/>
  <c r="H1" i="12"/>
  <c r="F8" i="12" s="1"/>
  <c r="H1" i="9"/>
  <c r="F8" i="9" s="1"/>
  <c r="H1" i="1"/>
  <c r="F8" i="1" s="1"/>
  <c r="H1" i="8"/>
  <c r="F8" i="8" s="1"/>
  <c r="H1" i="7"/>
  <c r="F8" i="7" s="1"/>
  <c r="H1" i="6"/>
  <c r="F8" i="6" s="1"/>
  <c r="H1" i="5"/>
  <c r="F8" i="5" s="1"/>
  <c r="H1" i="4"/>
  <c r="F8" i="4" s="1"/>
  <c r="M36" i="1" l="1"/>
  <c r="L36" i="1"/>
  <c r="M35" i="1"/>
  <c r="L35" i="1"/>
  <c r="M34" i="1"/>
  <c r="L34" i="1"/>
  <c r="M33" i="1"/>
  <c r="L33" i="1"/>
  <c r="O42" i="9" l="1"/>
  <c r="O42" i="1"/>
  <c r="O42" i="7"/>
  <c r="O42" i="5"/>
  <c r="O42" i="10"/>
  <c r="O42" i="16" l="1"/>
  <c r="Y44" i="16" s="1"/>
  <c r="N42" i="16"/>
  <c r="L42" i="16"/>
  <c r="K42" i="16"/>
  <c r="M41" i="16"/>
  <c r="L41" i="16"/>
  <c r="E41" i="16"/>
  <c r="M40" i="16"/>
  <c r="L40" i="16"/>
  <c r="E40" i="16"/>
  <c r="M39" i="16"/>
  <c r="L39" i="16"/>
  <c r="E39" i="16"/>
  <c r="M38" i="16"/>
  <c r="L38" i="16"/>
  <c r="E38" i="16"/>
  <c r="M37" i="16"/>
  <c r="L37" i="16"/>
  <c r="E37" i="16"/>
  <c r="M36" i="16"/>
  <c r="L36" i="16"/>
  <c r="E36" i="16"/>
  <c r="M35" i="16"/>
  <c r="L35" i="16"/>
  <c r="E35" i="16"/>
  <c r="M34" i="16"/>
  <c r="L34" i="16"/>
  <c r="E34" i="16"/>
  <c r="M33" i="16"/>
  <c r="L33" i="16"/>
  <c r="E33" i="16"/>
  <c r="M32" i="16"/>
  <c r="L32" i="16"/>
  <c r="E32" i="16"/>
  <c r="M31" i="16"/>
  <c r="L31" i="16"/>
  <c r="E31" i="16"/>
  <c r="M30" i="16"/>
  <c r="L30" i="16"/>
  <c r="E30" i="16"/>
  <c r="M29" i="16"/>
  <c r="L29" i="16"/>
  <c r="E29" i="16"/>
  <c r="M28" i="16"/>
  <c r="L28" i="16"/>
  <c r="E28" i="16"/>
  <c r="M27" i="16"/>
  <c r="L27" i="16"/>
  <c r="E27" i="16"/>
  <c r="M26" i="16"/>
  <c r="L26" i="16"/>
  <c r="E26" i="16"/>
  <c r="M25" i="16"/>
  <c r="L25" i="16"/>
  <c r="E25" i="16"/>
  <c r="M24" i="16"/>
  <c r="L24" i="16"/>
  <c r="E24" i="16"/>
  <c r="M23" i="16"/>
  <c r="L23" i="16"/>
  <c r="E23" i="16"/>
  <c r="M22" i="16"/>
  <c r="L22" i="16"/>
  <c r="E22" i="16"/>
  <c r="M21" i="16"/>
  <c r="L21" i="16"/>
  <c r="E21" i="16"/>
  <c r="M20" i="16"/>
  <c r="L20" i="16"/>
  <c r="E20" i="16"/>
  <c r="M19" i="16"/>
  <c r="L19" i="16"/>
  <c r="E19" i="16"/>
  <c r="M18" i="16"/>
  <c r="L18" i="16"/>
  <c r="E18" i="16"/>
  <c r="M17" i="16"/>
  <c r="L17" i="16"/>
  <c r="E17" i="16"/>
  <c r="M16" i="16"/>
  <c r="L16" i="16"/>
  <c r="E16" i="16"/>
  <c r="M15" i="16"/>
  <c r="L15" i="16"/>
  <c r="E15" i="16"/>
  <c r="M14" i="16"/>
  <c r="L14" i="16"/>
  <c r="E14" i="16"/>
  <c r="M13" i="16"/>
  <c r="L13" i="16"/>
  <c r="E13" i="16"/>
  <c r="M12" i="16"/>
  <c r="L12" i="16"/>
  <c r="E12" i="16"/>
  <c r="M11" i="16"/>
  <c r="L11" i="16"/>
  <c r="E11" i="16"/>
  <c r="A11" i="16"/>
  <c r="A12" i="16" s="1"/>
  <c r="F9" i="16"/>
  <c r="E9" i="16" s="1"/>
  <c r="R7" i="16"/>
  <c r="Q7" i="16"/>
  <c r="R6" i="16"/>
  <c r="Q6" i="16"/>
  <c r="R5" i="16"/>
  <c r="Q5" i="16"/>
  <c r="V4" i="16"/>
  <c r="U4" i="16"/>
  <c r="R4" i="16"/>
  <c r="Q4" i="16"/>
  <c r="V3" i="16"/>
  <c r="U3" i="16"/>
  <c r="R3" i="16"/>
  <c r="Q3" i="16"/>
  <c r="V2" i="16"/>
  <c r="U2" i="16"/>
  <c r="R2" i="16"/>
  <c r="Q2" i="16"/>
  <c r="V1" i="16"/>
  <c r="U1" i="16"/>
  <c r="R1" i="16"/>
  <c r="Q1" i="16"/>
  <c r="O42" i="15"/>
  <c r="Y44" i="15" s="1"/>
  <c r="N42" i="15"/>
  <c r="L42" i="15"/>
  <c r="K42" i="15"/>
  <c r="X41" i="15"/>
  <c r="W41" i="15"/>
  <c r="S41" i="15"/>
  <c r="U41" i="15" s="1"/>
  <c r="M40" i="15"/>
  <c r="L40" i="15"/>
  <c r="E40" i="15"/>
  <c r="M39" i="15"/>
  <c r="L39" i="15"/>
  <c r="E39" i="15"/>
  <c r="M38" i="15"/>
  <c r="L38" i="15"/>
  <c r="E38" i="15"/>
  <c r="M37" i="15"/>
  <c r="L37" i="15"/>
  <c r="E37" i="15"/>
  <c r="M36" i="15"/>
  <c r="L36" i="15"/>
  <c r="E36" i="15"/>
  <c r="M35" i="15"/>
  <c r="L35" i="15"/>
  <c r="E35" i="15"/>
  <c r="M34" i="15"/>
  <c r="L34" i="15"/>
  <c r="E34" i="15"/>
  <c r="M33" i="15"/>
  <c r="L33" i="15"/>
  <c r="E33" i="15"/>
  <c r="M32" i="15"/>
  <c r="L32" i="15"/>
  <c r="E32" i="15"/>
  <c r="M31" i="15"/>
  <c r="L31" i="15"/>
  <c r="E31" i="15"/>
  <c r="M30" i="15"/>
  <c r="L30" i="15"/>
  <c r="E30" i="15"/>
  <c r="M29" i="15"/>
  <c r="L29" i="15"/>
  <c r="E29" i="15"/>
  <c r="M28" i="15"/>
  <c r="L28" i="15"/>
  <c r="E28" i="15"/>
  <c r="M27" i="15"/>
  <c r="L27" i="15"/>
  <c r="E27" i="15"/>
  <c r="M26" i="15"/>
  <c r="L26" i="15"/>
  <c r="E26" i="15"/>
  <c r="M25" i="15"/>
  <c r="L25" i="15"/>
  <c r="E25" i="15"/>
  <c r="M24" i="15"/>
  <c r="L24" i="15"/>
  <c r="E24" i="15"/>
  <c r="M23" i="15"/>
  <c r="L23" i="15"/>
  <c r="E23" i="15"/>
  <c r="M22" i="15"/>
  <c r="L22" i="15"/>
  <c r="E22" i="15"/>
  <c r="M21" i="15"/>
  <c r="L21" i="15"/>
  <c r="E21" i="15"/>
  <c r="M20" i="15"/>
  <c r="L20" i="15"/>
  <c r="E20" i="15"/>
  <c r="M19" i="15"/>
  <c r="L19" i="15"/>
  <c r="E19" i="15"/>
  <c r="M18" i="15"/>
  <c r="L18" i="15"/>
  <c r="E18" i="15"/>
  <c r="M17" i="15"/>
  <c r="L17" i="15"/>
  <c r="E17" i="15"/>
  <c r="M16" i="15"/>
  <c r="L16" i="15"/>
  <c r="E16" i="15"/>
  <c r="M15" i="15"/>
  <c r="L15" i="15"/>
  <c r="E15" i="15"/>
  <c r="M14" i="15"/>
  <c r="L14" i="15"/>
  <c r="E14" i="15"/>
  <c r="M13" i="15"/>
  <c r="L13" i="15"/>
  <c r="E13" i="15"/>
  <c r="M12" i="15"/>
  <c r="L12" i="15"/>
  <c r="E12" i="15"/>
  <c r="M11" i="15"/>
  <c r="L11" i="15"/>
  <c r="E11" i="15"/>
  <c r="A11" i="15"/>
  <c r="A12" i="15" s="1"/>
  <c r="F9" i="15"/>
  <c r="E9" i="15" s="1"/>
  <c r="R7" i="15"/>
  <c r="Q7" i="15"/>
  <c r="R6" i="15"/>
  <c r="Q6" i="15"/>
  <c r="R5" i="15"/>
  <c r="Q5" i="15"/>
  <c r="V4" i="15"/>
  <c r="U4" i="15"/>
  <c r="R4" i="15"/>
  <c r="Q4" i="15"/>
  <c r="V3" i="15"/>
  <c r="U3" i="15"/>
  <c r="R3" i="15"/>
  <c r="Q3" i="15"/>
  <c r="V2" i="15"/>
  <c r="U2" i="15"/>
  <c r="R2" i="15"/>
  <c r="Q2" i="15"/>
  <c r="V1" i="15"/>
  <c r="U1" i="15"/>
  <c r="R1" i="15"/>
  <c r="Q1" i="15"/>
  <c r="O42" i="14"/>
  <c r="Y44" i="14" s="1"/>
  <c r="N42" i="14"/>
  <c r="L42" i="14"/>
  <c r="K42" i="14"/>
  <c r="M41" i="14"/>
  <c r="L41" i="14"/>
  <c r="E41" i="14"/>
  <c r="M40" i="14"/>
  <c r="L40" i="14"/>
  <c r="E40" i="14"/>
  <c r="M39" i="14"/>
  <c r="L39" i="14"/>
  <c r="E39" i="14"/>
  <c r="M38" i="14"/>
  <c r="L38" i="14"/>
  <c r="E38" i="14"/>
  <c r="M37" i="14"/>
  <c r="L37" i="14"/>
  <c r="E37" i="14"/>
  <c r="M36" i="14"/>
  <c r="L36" i="14"/>
  <c r="E36" i="14"/>
  <c r="M35" i="14"/>
  <c r="L35" i="14"/>
  <c r="E35" i="14"/>
  <c r="M34" i="14"/>
  <c r="L34" i="14"/>
  <c r="E34" i="14"/>
  <c r="M33" i="14"/>
  <c r="L33" i="14"/>
  <c r="E33" i="14"/>
  <c r="M32" i="14"/>
  <c r="L32" i="14"/>
  <c r="E32" i="14"/>
  <c r="M31" i="14"/>
  <c r="L31" i="14"/>
  <c r="E31" i="14"/>
  <c r="M30" i="14"/>
  <c r="L30" i="14"/>
  <c r="E30" i="14"/>
  <c r="M29" i="14"/>
  <c r="L29" i="14"/>
  <c r="E29" i="14"/>
  <c r="M28" i="14"/>
  <c r="L28" i="14"/>
  <c r="E28" i="14"/>
  <c r="M27" i="14"/>
  <c r="L27" i="14"/>
  <c r="E27" i="14"/>
  <c r="M26" i="14"/>
  <c r="L26" i="14"/>
  <c r="E26" i="14"/>
  <c r="M25" i="14"/>
  <c r="L25" i="14"/>
  <c r="E25" i="14"/>
  <c r="M24" i="14"/>
  <c r="L24" i="14"/>
  <c r="E24" i="14"/>
  <c r="M23" i="14"/>
  <c r="L23" i="14"/>
  <c r="E23" i="14"/>
  <c r="M22" i="14"/>
  <c r="L22" i="14"/>
  <c r="E22" i="14"/>
  <c r="M21" i="14"/>
  <c r="L21" i="14"/>
  <c r="E21" i="14"/>
  <c r="M20" i="14"/>
  <c r="L20" i="14"/>
  <c r="E20" i="14"/>
  <c r="M19" i="14"/>
  <c r="L19" i="14"/>
  <c r="E19" i="14"/>
  <c r="M18" i="14"/>
  <c r="L18" i="14"/>
  <c r="E18" i="14"/>
  <c r="M17" i="14"/>
  <c r="L17" i="14"/>
  <c r="E17" i="14"/>
  <c r="M16" i="14"/>
  <c r="L16" i="14"/>
  <c r="E16" i="14"/>
  <c r="M15" i="14"/>
  <c r="L15" i="14"/>
  <c r="E15" i="14"/>
  <c r="M14" i="14"/>
  <c r="L14" i="14"/>
  <c r="E14" i="14"/>
  <c r="M13" i="14"/>
  <c r="L13" i="14"/>
  <c r="E13" i="14"/>
  <c r="M12" i="14"/>
  <c r="L12" i="14"/>
  <c r="E12" i="14"/>
  <c r="M11" i="14"/>
  <c r="L11" i="14"/>
  <c r="E11" i="14"/>
  <c r="A11" i="14"/>
  <c r="A12" i="14" s="1"/>
  <c r="F9" i="14"/>
  <c r="E9" i="14" s="1"/>
  <c r="R7" i="14"/>
  <c r="Q7" i="14"/>
  <c r="R6" i="14"/>
  <c r="Q6" i="14"/>
  <c r="R5" i="14"/>
  <c r="Q5" i="14"/>
  <c r="V4" i="14"/>
  <c r="U4" i="14"/>
  <c r="R4" i="14"/>
  <c r="Q4" i="14"/>
  <c r="V3" i="14"/>
  <c r="U3" i="14"/>
  <c r="R3" i="14"/>
  <c r="Q3" i="14"/>
  <c r="V2" i="14"/>
  <c r="U2" i="14"/>
  <c r="R2" i="14"/>
  <c r="Q2" i="14"/>
  <c r="V1" i="14"/>
  <c r="U1" i="14"/>
  <c r="R1" i="14"/>
  <c r="Q1" i="14"/>
  <c r="O42" i="12"/>
  <c r="Y44" i="12" s="1"/>
  <c r="N42" i="12"/>
  <c r="L42" i="12"/>
  <c r="K42" i="12"/>
  <c r="X41" i="12"/>
  <c r="W41" i="12"/>
  <c r="S41" i="12"/>
  <c r="T41" i="12" s="1"/>
  <c r="E41" i="12"/>
  <c r="M40" i="12"/>
  <c r="L40" i="12"/>
  <c r="E40" i="12"/>
  <c r="M39" i="12"/>
  <c r="L39" i="12"/>
  <c r="E39" i="12"/>
  <c r="M38" i="12"/>
  <c r="L38" i="12"/>
  <c r="E38" i="12"/>
  <c r="M37" i="12"/>
  <c r="L37" i="12"/>
  <c r="E37" i="12"/>
  <c r="M36" i="12"/>
  <c r="L36" i="12"/>
  <c r="E36" i="12"/>
  <c r="M35" i="12"/>
  <c r="L35" i="12"/>
  <c r="E35" i="12"/>
  <c r="M34" i="12"/>
  <c r="L34" i="12"/>
  <c r="E34" i="12"/>
  <c r="M33" i="12"/>
  <c r="L33" i="12"/>
  <c r="E33" i="12"/>
  <c r="M32" i="12"/>
  <c r="L32" i="12"/>
  <c r="E32" i="12"/>
  <c r="M31" i="12"/>
  <c r="L31" i="12"/>
  <c r="E31" i="12"/>
  <c r="M30" i="12"/>
  <c r="L30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M11" i="12"/>
  <c r="L11" i="12"/>
  <c r="E11" i="12"/>
  <c r="A11" i="12"/>
  <c r="B11" i="12" s="1"/>
  <c r="F9" i="12"/>
  <c r="I9" i="12" s="1"/>
  <c r="H9" i="12" s="1"/>
  <c r="R7" i="12"/>
  <c r="Q7" i="12"/>
  <c r="R6" i="12"/>
  <c r="Q6" i="12"/>
  <c r="R5" i="12"/>
  <c r="Q5" i="12"/>
  <c r="V4" i="12"/>
  <c r="U4" i="12"/>
  <c r="R4" i="12"/>
  <c r="Q4" i="12"/>
  <c r="V3" i="12"/>
  <c r="U3" i="12"/>
  <c r="R3" i="12"/>
  <c r="Q3" i="12"/>
  <c r="V2" i="12"/>
  <c r="U2" i="12"/>
  <c r="R2" i="12"/>
  <c r="Q2" i="12"/>
  <c r="V1" i="12"/>
  <c r="U1" i="12"/>
  <c r="R1" i="12"/>
  <c r="Q1" i="12"/>
  <c r="Y44" i="9"/>
  <c r="N42" i="9"/>
  <c r="L42" i="9"/>
  <c r="K42" i="9"/>
  <c r="M41" i="9"/>
  <c r="L41" i="9"/>
  <c r="E41" i="9"/>
  <c r="M40" i="9"/>
  <c r="L40" i="9"/>
  <c r="E40" i="9"/>
  <c r="M39" i="9"/>
  <c r="L39" i="9"/>
  <c r="E39" i="9"/>
  <c r="M38" i="9"/>
  <c r="L38" i="9"/>
  <c r="E38" i="9"/>
  <c r="M37" i="9"/>
  <c r="L37" i="9"/>
  <c r="E37" i="9"/>
  <c r="M36" i="9"/>
  <c r="L36" i="9"/>
  <c r="E36" i="9"/>
  <c r="M35" i="9"/>
  <c r="L35" i="9"/>
  <c r="E35" i="9"/>
  <c r="M34" i="9"/>
  <c r="L34" i="9"/>
  <c r="E34" i="9"/>
  <c r="M33" i="9"/>
  <c r="L33" i="9"/>
  <c r="E33" i="9"/>
  <c r="M32" i="9"/>
  <c r="L32" i="9"/>
  <c r="E32" i="9"/>
  <c r="M31" i="9"/>
  <c r="L31" i="9"/>
  <c r="E31" i="9"/>
  <c r="M30" i="9"/>
  <c r="L30" i="9"/>
  <c r="E30" i="9"/>
  <c r="M29" i="9"/>
  <c r="L29" i="9"/>
  <c r="E29" i="9"/>
  <c r="M28" i="9"/>
  <c r="L28" i="9"/>
  <c r="E28" i="9"/>
  <c r="M27" i="9"/>
  <c r="L27" i="9"/>
  <c r="E27" i="9"/>
  <c r="M26" i="9"/>
  <c r="L26" i="9"/>
  <c r="E26" i="9"/>
  <c r="M25" i="9"/>
  <c r="L25" i="9"/>
  <c r="E25" i="9"/>
  <c r="M24" i="9"/>
  <c r="L24" i="9"/>
  <c r="E24" i="9"/>
  <c r="M23" i="9"/>
  <c r="L23" i="9"/>
  <c r="E23" i="9"/>
  <c r="M22" i="9"/>
  <c r="L22" i="9"/>
  <c r="E22" i="9"/>
  <c r="M21" i="9"/>
  <c r="L21" i="9"/>
  <c r="E21" i="9"/>
  <c r="M20" i="9"/>
  <c r="L20" i="9"/>
  <c r="E20" i="9"/>
  <c r="M19" i="9"/>
  <c r="L19" i="9"/>
  <c r="E19" i="9"/>
  <c r="M18" i="9"/>
  <c r="L18" i="9"/>
  <c r="E18" i="9"/>
  <c r="M17" i="9"/>
  <c r="L17" i="9"/>
  <c r="E17" i="9"/>
  <c r="M16" i="9"/>
  <c r="L16" i="9"/>
  <c r="E16" i="9"/>
  <c r="M15" i="9"/>
  <c r="L15" i="9"/>
  <c r="E15" i="9"/>
  <c r="M14" i="9"/>
  <c r="L14" i="9"/>
  <c r="E14" i="9"/>
  <c r="M13" i="9"/>
  <c r="L13" i="9"/>
  <c r="E13" i="9"/>
  <c r="M12" i="9"/>
  <c r="L12" i="9"/>
  <c r="E12" i="9"/>
  <c r="M11" i="9"/>
  <c r="L11" i="9"/>
  <c r="E11" i="9"/>
  <c r="A11" i="9"/>
  <c r="C11" i="9" s="1"/>
  <c r="F9" i="9"/>
  <c r="I9" i="9" s="1"/>
  <c r="H9" i="9" s="1"/>
  <c r="R7" i="9"/>
  <c r="Q7" i="9"/>
  <c r="R6" i="9"/>
  <c r="Q6" i="9"/>
  <c r="R5" i="9"/>
  <c r="Q5" i="9"/>
  <c r="V4" i="9"/>
  <c r="U4" i="9"/>
  <c r="R4" i="9"/>
  <c r="Q4" i="9"/>
  <c r="V3" i="9"/>
  <c r="U3" i="9"/>
  <c r="R3" i="9"/>
  <c r="Q3" i="9"/>
  <c r="V2" i="9"/>
  <c r="U2" i="9"/>
  <c r="R2" i="9"/>
  <c r="Q2" i="9"/>
  <c r="V1" i="9"/>
  <c r="U1" i="9"/>
  <c r="R1" i="9"/>
  <c r="Q1" i="9"/>
  <c r="Y44" i="1"/>
  <c r="N42" i="1"/>
  <c r="L42" i="1"/>
  <c r="K42" i="1"/>
  <c r="M41" i="1"/>
  <c r="L41" i="1"/>
  <c r="E41" i="1"/>
  <c r="M40" i="1"/>
  <c r="L40" i="1"/>
  <c r="E40" i="1"/>
  <c r="M39" i="1"/>
  <c r="L39" i="1"/>
  <c r="E39" i="1"/>
  <c r="M38" i="1"/>
  <c r="L38" i="1"/>
  <c r="E38" i="1"/>
  <c r="M37" i="1"/>
  <c r="L37" i="1"/>
  <c r="E37" i="1"/>
  <c r="E36" i="1"/>
  <c r="E35" i="1"/>
  <c r="E34" i="1"/>
  <c r="E33" i="1"/>
  <c r="M32" i="1"/>
  <c r="L32" i="1"/>
  <c r="E32" i="1"/>
  <c r="M31" i="1"/>
  <c r="L31" i="1"/>
  <c r="E31" i="1"/>
  <c r="M30" i="1"/>
  <c r="L30" i="1"/>
  <c r="E30" i="1"/>
  <c r="M29" i="1"/>
  <c r="L29" i="1"/>
  <c r="E29" i="1"/>
  <c r="M28" i="1"/>
  <c r="L28" i="1"/>
  <c r="E28" i="1"/>
  <c r="M27" i="1"/>
  <c r="L27" i="1"/>
  <c r="E27" i="1"/>
  <c r="M26" i="1"/>
  <c r="L26" i="1"/>
  <c r="E26" i="1"/>
  <c r="M25" i="1"/>
  <c r="L25" i="1"/>
  <c r="E25" i="1"/>
  <c r="M24" i="1"/>
  <c r="L24" i="1"/>
  <c r="E24" i="1"/>
  <c r="M23" i="1"/>
  <c r="L23" i="1"/>
  <c r="E23" i="1"/>
  <c r="M22" i="1"/>
  <c r="L22" i="1"/>
  <c r="E22" i="1"/>
  <c r="M21" i="1"/>
  <c r="L21" i="1"/>
  <c r="E21" i="1"/>
  <c r="M20" i="1"/>
  <c r="L20" i="1"/>
  <c r="E20" i="1"/>
  <c r="M19" i="1"/>
  <c r="L19" i="1"/>
  <c r="E19" i="1"/>
  <c r="M18" i="1"/>
  <c r="L18" i="1"/>
  <c r="E18" i="1"/>
  <c r="M17" i="1"/>
  <c r="L17" i="1"/>
  <c r="E17" i="1"/>
  <c r="M16" i="1"/>
  <c r="L16" i="1"/>
  <c r="E16" i="1"/>
  <c r="M15" i="1"/>
  <c r="L15" i="1"/>
  <c r="E15" i="1"/>
  <c r="M14" i="1"/>
  <c r="L14" i="1"/>
  <c r="E14" i="1"/>
  <c r="M13" i="1"/>
  <c r="L13" i="1"/>
  <c r="E13" i="1"/>
  <c r="M12" i="1"/>
  <c r="L12" i="1"/>
  <c r="E12" i="1"/>
  <c r="M11" i="1"/>
  <c r="L11" i="1"/>
  <c r="E11" i="1"/>
  <c r="A11" i="1"/>
  <c r="C11" i="1" s="1"/>
  <c r="F9" i="1"/>
  <c r="I9" i="1" s="1"/>
  <c r="H9" i="1" s="1"/>
  <c r="R7" i="1"/>
  <c r="Q7" i="1"/>
  <c r="R6" i="1"/>
  <c r="Q6" i="1"/>
  <c r="R5" i="1"/>
  <c r="Q5" i="1"/>
  <c r="V4" i="1"/>
  <c r="U4" i="1"/>
  <c r="R4" i="1"/>
  <c r="Q4" i="1"/>
  <c r="V3" i="1"/>
  <c r="U3" i="1"/>
  <c r="R3" i="1"/>
  <c r="Q3" i="1"/>
  <c r="V2" i="1"/>
  <c r="U2" i="1"/>
  <c r="R2" i="1"/>
  <c r="Q2" i="1"/>
  <c r="V1" i="1"/>
  <c r="U1" i="1"/>
  <c r="R1" i="1"/>
  <c r="Q1" i="1"/>
  <c r="O42" i="8"/>
  <c r="Y44" i="8" s="1"/>
  <c r="N42" i="8"/>
  <c r="L42" i="8"/>
  <c r="K42" i="8"/>
  <c r="X41" i="8"/>
  <c r="W41" i="8"/>
  <c r="S41" i="8"/>
  <c r="T41" i="8" s="1"/>
  <c r="M40" i="8"/>
  <c r="L40" i="8"/>
  <c r="E40" i="8"/>
  <c r="M39" i="8"/>
  <c r="L39" i="8"/>
  <c r="E39" i="8"/>
  <c r="M38" i="8"/>
  <c r="L38" i="8"/>
  <c r="E38" i="8"/>
  <c r="M37" i="8"/>
  <c r="L37" i="8"/>
  <c r="E37" i="8"/>
  <c r="M36" i="8"/>
  <c r="L36" i="8"/>
  <c r="E36" i="8"/>
  <c r="M35" i="8"/>
  <c r="L35" i="8"/>
  <c r="E35" i="8"/>
  <c r="M34" i="8"/>
  <c r="L34" i="8"/>
  <c r="E34" i="8"/>
  <c r="M33" i="8"/>
  <c r="L33" i="8"/>
  <c r="E33" i="8"/>
  <c r="M32" i="8"/>
  <c r="L32" i="8"/>
  <c r="E32" i="8"/>
  <c r="M31" i="8"/>
  <c r="L31" i="8"/>
  <c r="E31" i="8"/>
  <c r="M30" i="8"/>
  <c r="L30" i="8"/>
  <c r="E30" i="8"/>
  <c r="M29" i="8"/>
  <c r="L29" i="8"/>
  <c r="E29" i="8"/>
  <c r="M28" i="8"/>
  <c r="L28" i="8"/>
  <c r="E28" i="8"/>
  <c r="M27" i="8"/>
  <c r="L27" i="8"/>
  <c r="E27" i="8"/>
  <c r="M26" i="8"/>
  <c r="L26" i="8"/>
  <c r="E26" i="8"/>
  <c r="M25" i="8"/>
  <c r="L25" i="8"/>
  <c r="E25" i="8"/>
  <c r="M24" i="8"/>
  <c r="L24" i="8"/>
  <c r="E24" i="8"/>
  <c r="M23" i="8"/>
  <c r="L23" i="8"/>
  <c r="E23" i="8"/>
  <c r="M22" i="8"/>
  <c r="L22" i="8"/>
  <c r="E22" i="8"/>
  <c r="M21" i="8"/>
  <c r="L21" i="8"/>
  <c r="E21" i="8"/>
  <c r="M20" i="8"/>
  <c r="L20" i="8"/>
  <c r="E20" i="8"/>
  <c r="M19" i="8"/>
  <c r="L19" i="8"/>
  <c r="E19" i="8"/>
  <c r="M18" i="8"/>
  <c r="L18" i="8"/>
  <c r="E18" i="8"/>
  <c r="M17" i="8"/>
  <c r="L17" i="8"/>
  <c r="E17" i="8"/>
  <c r="M16" i="8"/>
  <c r="L16" i="8"/>
  <c r="E16" i="8"/>
  <c r="M15" i="8"/>
  <c r="L15" i="8"/>
  <c r="E15" i="8"/>
  <c r="M14" i="8"/>
  <c r="L14" i="8"/>
  <c r="E14" i="8"/>
  <c r="M13" i="8"/>
  <c r="L13" i="8"/>
  <c r="E13" i="8"/>
  <c r="M12" i="8"/>
  <c r="L12" i="8"/>
  <c r="E12" i="8"/>
  <c r="M11" i="8"/>
  <c r="L11" i="8"/>
  <c r="E11" i="8"/>
  <c r="A11" i="8"/>
  <c r="B11" i="8" s="1"/>
  <c r="F9" i="8"/>
  <c r="I9" i="8" s="1"/>
  <c r="H9" i="8" s="1"/>
  <c r="R7" i="8"/>
  <c r="Q7" i="8"/>
  <c r="R6" i="8"/>
  <c r="Q6" i="8"/>
  <c r="R5" i="8"/>
  <c r="Q5" i="8"/>
  <c r="V4" i="8"/>
  <c r="U4" i="8"/>
  <c r="R4" i="8"/>
  <c r="Q4" i="8"/>
  <c r="V3" i="8"/>
  <c r="U3" i="8"/>
  <c r="R3" i="8"/>
  <c r="Q3" i="8"/>
  <c r="V2" i="8"/>
  <c r="U2" i="8"/>
  <c r="R2" i="8"/>
  <c r="Q2" i="8"/>
  <c r="V1" i="8"/>
  <c r="U1" i="8"/>
  <c r="R1" i="8"/>
  <c r="Q1" i="8"/>
  <c r="Y44" i="7"/>
  <c r="N42" i="7"/>
  <c r="L42" i="7"/>
  <c r="K42" i="7"/>
  <c r="M41" i="7"/>
  <c r="L41" i="7"/>
  <c r="E41" i="7"/>
  <c r="M40" i="7"/>
  <c r="L40" i="7"/>
  <c r="E40" i="7"/>
  <c r="M39" i="7"/>
  <c r="L39" i="7"/>
  <c r="E39" i="7"/>
  <c r="M38" i="7"/>
  <c r="L38" i="7"/>
  <c r="E38" i="7"/>
  <c r="M37" i="7"/>
  <c r="L37" i="7"/>
  <c r="E37" i="7"/>
  <c r="M36" i="7"/>
  <c r="L36" i="7"/>
  <c r="E36" i="7"/>
  <c r="M35" i="7"/>
  <c r="L35" i="7"/>
  <c r="E35" i="7"/>
  <c r="M34" i="7"/>
  <c r="L34" i="7"/>
  <c r="E34" i="7"/>
  <c r="M33" i="7"/>
  <c r="L33" i="7"/>
  <c r="E33" i="7"/>
  <c r="M32" i="7"/>
  <c r="L32" i="7"/>
  <c r="E32" i="7"/>
  <c r="M31" i="7"/>
  <c r="L31" i="7"/>
  <c r="E31" i="7"/>
  <c r="M30" i="7"/>
  <c r="L30" i="7"/>
  <c r="E30" i="7"/>
  <c r="M29" i="7"/>
  <c r="L29" i="7"/>
  <c r="E29" i="7"/>
  <c r="M28" i="7"/>
  <c r="L28" i="7"/>
  <c r="E28" i="7"/>
  <c r="M27" i="7"/>
  <c r="L27" i="7"/>
  <c r="E27" i="7"/>
  <c r="M26" i="7"/>
  <c r="L26" i="7"/>
  <c r="E26" i="7"/>
  <c r="M25" i="7"/>
  <c r="L25" i="7"/>
  <c r="E25" i="7"/>
  <c r="M24" i="7"/>
  <c r="L24" i="7"/>
  <c r="E24" i="7"/>
  <c r="M23" i="7"/>
  <c r="L23" i="7"/>
  <c r="E23" i="7"/>
  <c r="M22" i="7"/>
  <c r="L22" i="7"/>
  <c r="E22" i="7"/>
  <c r="M21" i="7"/>
  <c r="L21" i="7"/>
  <c r="E21" i="7"/>
  <c r="M20" i="7"/>
  <c r="L20" i="7"/>
  <c r="E20" i="7"/>
  <c r="M19" i="7"/>
  <c r="L19" i="7"/>
  <c r="E19" i="7"/>
  <c r="M18" i="7"/>
  <c r="L18" i="7"/>
  <c r="E18" i="7"/>
  <c r="M17" i="7"/>
  <c r="L17" i="7"/>
  <c r="E17" i="7"/>
  <c r="M16" i="7"/>
  <c r="L16" i="7"/>
  <c r="E16" i="7"/>
  <c r="M15" i="7"/>
  <c r="L15" i="7"/>
  <c r="E15" i="7"/>
  <c r="M14" i="7"/>
  <c r="L14" i="7"/>
  <c r="E14" i="7"/>
  <c r="M13" i="7"/>
  <c r="L13" i="7"/>
  <c r="E13" i="7"/>
  <c r="M12" i="7"/>
  <c r="L12" i="7"/>
  <c r="E12" i="7"/>
  <c r="M11" i="7"/>
  <c r="L11" i="7"/>
  <c r="E11" i="7"/>
  <c r="A11" i="7"/>
  <c r="A12" i="7" s="1"/>
  <c r="F9" i="7"/>
  <c r="I9" i="7" s="1"/>
  <c r="H9" i="7" s="1"/>
  <c r="R7" i="7"/>
  <c r="Q7" i="7"/>
  <c r="R6" i="7"/>
  <c r="Q6" i="7"/>
  <c r="R5" i="7"/>
  <c r="Q5" i="7"/>
  <c r="V4" i="7"/>
  <c r="U4" i="7"/>
  <c r="R4" i="7"/>
  <c r="Q4" i="7"/>
  <c r="V3" i="7"/>
  <c r="U3" i="7"/>
  <c r="R3" i="7"/>
  <c r="Q3" i="7"/>
  <c r="V2" i="7"/>
  <c r="U2" i="7"/>
  <c r="R2" i="7"/>
  <c r="Q2" i="7"/>
  <c r="V1" i="7"/>
  <c r="U1" i="7"/>
  <c r="R1" i="7"/>
  <c r="Q1" i="7"/>
  <c r="O42" i="6"/>
  <c r="Y44" i="6" s="1"/>
  <c r="N42" i="6"/>
  <c r="L42" i="6"/>
  <c r="K42" i="6"/>
  <c r="J42" i="6"/>
  <c r="X41" i="6"/>
  <c r="W41" i="6"/>
  <c r="Y41" i="6" s="1"/>
  <c r="S41" i="6"/>
  <c r="U41" i="6" s="1"/>
  <c r="M40" i="6"/>
  <c r="L40" i="6"/>
  <c r="E40" i="6"/>
  <c r="M39" i="6"/>
  <c r="L39" i="6"/>
  <c r="E39" i="6"/>
  <c r="M38" i="6"/>
  <c r="L38" i="6"/>
  <c r="E38" i="6"/>
  <c r="M37" i="6"/>
  <c r="L37" i="6"/>
  <c r="E37" i="6"/>
  <c r="M36" i="6"/>
  <c r="L36" i="6"/>
  <c r="E36" i="6"/>
  <c r="M35" i="6"/>
  <c r="L35" i="6"/>
  <c r="E35" i="6"/>
  <c r="M34" i="6"/>
  <c r="L34" i="6"/>
  <c r="E34" i="6"/>
  <c r="M33" i="6"/>
  <c r="L33" i="6"/>
  <c r="E33" i="6"/>
  <c r="M32" i="6"/>
  <c r="L32" i="6"/>
  <c r="E32" i="6"/>
  <c r="M31" i="6"/>
  <c r="L31" i="6"/>
  <c r="E31" i="6"/>
  <c r="M30" i="6"/>
  <c r="L30" i="6"/>
  <c r="E30" i="6"/>
  <c r="M29" i="6"/>
  <c r="L29" i="6"/>
  <c r="E29" i="6"/>
  <c r="M28" i="6"/>
  <c r="L28" i="6"/>
  <c r="E28" i="6"/>
  <c r="M27" i="6"/>
  <c r="L27" i="6"/>
  <c r="E27" i="6"/>
  <c r="M26" i="6"/>
  <c r="L26" i="6"/>
  <c r="E26" i="6"/>
  <c r="M25" i="6"/>
  <c r="L25" i="6"/>
  <c r="E25" i="6"/>
  <c r="M24" i="6"/>
  <c r="L24" i="6"/>
  <c r="E24" i="6"/>
  <c r="M23" i="6"/>
  <c r="L23" i="6"/>
  <c r="E23" i="6"/>
  <c r="M22" i="6"/>
  <c r="L22" i="6"/>
  <c r="E22" i="6"/>
  <c r="M21" i="6"/>
  <c r="L21" i="6"/>
  <c r="E21" i="6"/>
  <c r="M20" i="6"/>
  <c r="L20" i="6"/>
  <c r="E20" i="6"/>
  <c r="M19" i="6"/>
  <c r="L19" i="6"/>
  <c r="E19" i="6"/>
  <c r="M18" i="6"/>
  <c r="L18" i="6"/>
  <c r="E18" i="6"/>
  <c r="M17" i="6"/>
  <c r="L17" i="6"/>
  <c r="E17" i="6"/>
  <c r="M16" i="6"/>
  <c r="L16" i="6"/>
  <c r="E16" i="6"/>
  <c r="M15" i="6"/>
  <c r="L15" i="6"/>
  <c r="E15" i="6"/>
  <c r="M14" i="6"/>
  <c r="L14" i="6"/>
  <c r="E14" i="6"/>
  <c r="M13" i="6"/>
  <c r="L13" i="6"/>
  <c r="E13" i="6"/>
  <c r="M12" i="6"/>
  <c r="L12" i="6"/>
  <c r="E12" i="6"/>
  <c r="M11" i="6"/>
  <c r="L11" i="6"/>
  <c r="E11" i="6"/>
  <c r="A11" i="6"/>
  <c r="B11" i="6" s="1"/>
  <c r="F9" i="6"/>
  <c r="I9" i="6" s="1"/>
  <c r="H9" i="6" s="1"/>
  <c r="R7" i="6"/>
  <c r="Q7" i="6"/>
  <c r="R6" i="6"/>
  <c r="Q6" i="6"/>
  <c r="R5" i="6"/>
  <c r="Q5" i="6"/>
  <c r="V4" i="6"/>
  <c r="U4" i="6"/>
  <c r="R4" i="6"/>
  <c r="Q4" i="6"/>
  <c r="V3" i="6"/>
  <c r="U3" i="6"/>
  <c r="R3" i="6"/>
  <c r="Q3" i="6"/>
  <c r="V2" i="6"/>
  <c r="U2" i="6"/>
  <c r="R2" i="6"/>
  <c r="Q2" i="6"/>
  <c r="V1" i="6"/>
  <c r="U1" i="6"/>
  <c r="R1" i="6"/>
  <c r="Q1" i="6"/>
  <c r="Y44" i="5"/>
  <c r="M41" i="5"/>
  <c r="L41" i="5"/>
  <c r="E41" i="5"/>
  <c r="M40" i="5"/>
  <c r="L40" i="5"/>
  <c r="E40" i="5"/>
  <c r="M39" i="5"/>
  <c r="L39" i="5"/>
  <c r="E39" i="5"/>
  <c r="M38" i="5"/>
  <c r="L38" i="5"/>
  <c r="E38" i="5"/>
  <c r="M37" i="5"/>
  <c r="L37" i="5"/>
  <c r="E37" i="5"/>
  <c r="M36" i="5"/>
  <c r="L36" i="5"/>
  <c r="E36" i="5"/>
  <c r="M35" i="5"/>
  <c r="L35" i="5"/>
  <c r="E35" i="5"/>
  <c r="M34" i="5"/>
  <c r="L34" i="5"/>
  <c r="E34" i="5"/>
  <c r="M33" i="5"/>
  <c r="L33" i="5"/>
  <c r="E33" i="5"/>
  <c r="M32" i="5"/>
  <c r="L32" i="5"/>
  <c r="E32" i="5"/>
  <c r="M31" i="5"/>
  <c r="L31" i="5"/>
  <c r="E31" i="5"/>
  <c r="M30" i="5"/>
  <c r="L30" i="5"/>
  <c r="E30" i="5"/>
  <c r="M29" i="5"/>
  <c r="L29" i="5"/>
  <c r="E29" i="5"/>
  <c r="M28" i="5"/>
  <c r="L28" i="5"/>
  <c r="E28" i="5"/>
  <c r="M27" i="5"/>
  <c r="L27" i="5"/>
  <c r="E27" i="5"/>
  <c r="M26" i="5"/>
  <c r="L26" i="5"/>
  <c r="E26" i="5"/>
  <c r="M25" i="5"/>
  <c r="L25" i="5"/>
  <c r="E25" i="5"/>
  <c r="M24" i="5"/>
  <c r="L24" i="5"/>
  <c r="E24" i="5"/>
  <c r="M23" i="5"/>
  <c r="L23" i="5"/>
  <c r="E23" i="5"/>
  <c r="M22" i="5"/>
  <c r="L22" i="5"/>
  <c r="E22" i="5"/>
  <c r="M21" i="5"/>
  <c r="L21" i="5"/>
  <c r="E21" i="5"/>
  <c r="M20" i="5"/>
  <c r="L20" i="5"/>
  <c r="E20" i="5"/>
  <c r="M19" i="5"/>
  <c r="L19" i="5"/>
  <c r="E19" i="5"/>
  <c r="M18" i="5"/>
  <c r="L18" i="5"/>
  <c r="E18" i="5"/>
  <c r="M17" i="5"/>
  <c r="L17" i="5"/>
  <c r="E17" i="5"/>
  <c r="M16" i="5"/>
  <c r="L16" i="5"/>
  <c r="E16" i="5"/>
  <c r="M15" i="5"/>
  <c r="L15" i="5"/>
  <c r="E15" i="5"/>
  <c r="M14" i="5"/>
  <c r="L14" i="5"/>
  <c r="E14" i="5"/>
  <c r="M13" i="5"/>
  <c r="L13" i="5"/>
  <c r="E13" i="5"/>
  <c r="M12" i="5"/>
  <c r="L12" i="5"/>
  <c r="E12" i="5"/>
  <c r="M11" i="5"/>
  <c r="L11" i="5"/>
  <c r="E11" i="5"/>
  <c r="A11" i="5"/>
  <c r="A12" i="5" s="1"/>
  <c r="F9" i="5"/>
  <c r="I9" i="5" s="1"/>
  <c r="H9" i="5" s="1"/>
  <c r="R7" i="5"/>
  <c r="Q7" i="5"/>
  <c r="R6" i="5"/>
  <c r="Q6" i="5"/>
  <c r="R5" i="5"/>
  <c r="Q5" i="5"/>
  <c r="V4" i="5"/>
  <c r="U4" i="5"/>
  <c r="R4" i="5"/>
  <c r="Q4" i="5"/>
  <c r="V3" i="5"/>
  <c r="U3" i="5"/>
  <c r="R3" i="5"/>
  <c r="Q3" i="5"/>
  <c r="V2" i="5"/>
  <c r="U2" i="5"/>
  <c r="R2" i="5"/>
  <c r="Q2" i="5"/>
  <c r="V1" i="5"/>
  <c r="U1" i="5"/>
  <c r="R1" i="5"/>
  <c r="Q1" i="5"/>
  <c r="O42" i="4"/>
  <c r="Y44" i="4" s="1"/>
  <c r="N42" i="4"/>
  <c r="L42" i="4"/>
  <c r="K42" i="4"/>
  <c r="X41" i="4"/>
  <c r="W41" i="4"/>
  <c r="S41" i="4"/>
  <c r="T41" i="4" s="1"/>
  <c r="X40" i="4"/>
  <c r="W40" i="4"/>
  <c r="S40" i="4"/>
  <c r="U40" i="4" s="1"/>
  <c r="M38" i="4"/>
  <c r="L38" i="4"/>
  <c r="E38" i="4"/>
  <c r="M37" i="4"/>
  <c r="L37" i="4"/>
  <c r="E37" i="4"/>
  <c r="M36" i="4"/>
  <c r="L36" i="4"/>
  <c r="E36" i="4"/>
  <c r="M35" i="4"/>
  <c r="L35" i="4"/>
  <c r="E35" i="4"/>
  <c r="M34" i="4"/>
  <c r="L34" i="4"/>
  <c r="E34" i="4"/>
  <c r="M33" i="4"/>
  <c r="L33" i="4"/>
  <c r="E33" i="4"/>
  <c r="M32" i="4"/>
  <c r="L32" i="4"/>
  <c r="E32" i="4"/>
  <c r="M31" i="4"/>
  <c r="L31" i="4"/>
  <c r="E31" i="4"/>
  <c r="M30" i="4"/>
  <c r="L30" i="4"/>
  <c r="E30" i="4"/>
  <c r="M29" i="4"/>
  <c r="L29" i="4"/>
  <c r="E29" i="4"/>
  <c r="M28" i="4"/>
  <c r="L28" i="4"/>
  <c r="E28" i="4"/>
  <c r="M27" i="4"/>
  <c r="L27" i="4"/>
  <c r="E27" i="4"/>
  <c r="M26" i="4"/>
  <c r="L26" i="4"/>
  <c r="E26" i="4"/>
  <c r="M25" i="4"/>
  <c r="L25" i="4"/>
  <c r="E25" i="4"/>
  <c r="M24" i="4"/>
  <c r="L24" i="4"/>
  <c r="E24" i="4"/>
  <c r="M23" i="4"/>
  <c r="L23" i="4"/>
  <c r="E23" i="4"/>
  <c r="M22" i="4"/>
  <c r="L22" i="4"/>
  <c r="E22" i="4"/>
  <c r="M21" i="4"/>
  <c r="L21" i="4"/>
  <c r="E21" i="4"/>
  <c r="M20" i="4"/>
  <c r="L20" i="4"/>
  <c r="E20" i="4"/>
  <c r="M19" i="4"/>
  <c r="L19" i="4"/>
  <c r="E19" i="4"/>
  <c r="M18" i="4"/>
  <c r="L18" i="4"/>
  <c r="E18" i="4"/>
  <c r="M17" i="4"/>
  <c r="L17" i="4"/>
  <c r="E17" i="4"/>
  <c r="M16" i="4"/>
  <c r="L16" i="4"/>
  <c r="E16" i="4"/>
  <c r="M15" i="4"/>
  <c r="L15" i="4"/>
  <c r="E15" i="4"/>
  <c r="M14" i="4"/>
  <c r="L14" i="4"/>
  <c r="E14" i="4"/>
  <c r="M13" i="4"/>
  <c r="L13" i="4"/>
  <c r="E13" i="4"/>
  <c r="M12" i="4"/>
  <c r="L12" i="4"/>
  <c r="E12" i="4"/>
  <c r="M11" i="4"/>
  <c r="L11" i="4"/>
  <c r="E11" i="4"/>
  <c r="A11" i="4"/>
  <c r="C11" i="4" s="1"/>
  <c r="F9" i="4"/>
  <c r="E9" i="4" s="1"/>
  <c r="R7" i="4"/>
  <c r="Q7" i="4"/>
  <c r="R6" i="4"/>
  <c r="Q6" i="4"/>
  <c r="R5" i="4"/>
  <c r="Q5" i="4"/>
  <c r="V4" i="4"/>
  <c r="U4" i="4"/>
  <c r="R4" i="4"/>
  <c r="Q4" i="4"/>
  <c r="V3" i="4"/>
  <c r="U3" i="4"/>
  <c r="R3" i="4"/>
  <c r="Q3" i="4"/>
  <c r="V2" i="4"/>
  <c r="U2" i="4"/>
  <c r="R2" i="4"/>
  <c r="Q2" i="4"/>
  <c r="V1" i="4"/>
  <c r="U1" i="4"/>
  <c r="R1" i="4"/>
  <c r="Q1" i="4"/>
  <c r="N42" i="10"/>
  <c r="M42" i="10"/>
  <c r="L42" i="10"/>
  <c r="K42" i="10"/>
  <c r="M41" i="10"/>
  <c r="L41" i="10"/>
  <c r="E41" i="10"/>
  <c r="M40" i="10"/>
  <c r="L40" i="10"/>
  <c r="E40" i="10"/>
  <c r="M39" i="10"/>
  <c r="L39" i="10"/>
  <c r="E39" i="10"/>
  <c r="M38" i="10"/>
  <c r="L38" i="10"/>
  <c r="E38" i="10"/>
  <c r="M37" i="10"/>
  <c r="L37" i="10"/>
  <c r="E37" i="10"/>
  <c r="M36" i="10"/>
  <c r="L36" i="10"/>
  <c r="E36" i="10"/>
  <c r="M35" i="10"/>
  <c r="L35" i="10"/>
  <c r="E35" i="10"/>
  <c r="M34" i="10"/>
  <c r="L34" i="10"/>
  <c r="E34" i="10"/>
  <c r="M33" i="10"/>
  <c r="L33" i="10"/>
  <c r="E33" i="10"/>
  <c r="M32" i="10"/>
  <c r="L32" i="10"/>
  <c r="E32" i="10"/>
  <c r="M31" i="10"/>
  <c r="L31" i="10"/>
  <c r="E31" i="10"/>
  <c r="M30" i="10"/>
  <c r="L30" i="10"/>
  <c r="E30" i="10"/>
  <c r="M29" i="10"/>
  <c r="L29" i="10"/>
  <c r="E29" i="10"/>
  <c r="M28" i="10"/>
  <c r="L28" i="10"/>
  <c r="E28" i="10"/>
  <c r="M27" i="10"/>
  <c r="L27" i="10"/>
  <c r="E27" i="10"/>
  <c r="M26" i="10"/>
  <c r="L26" i="10"/>
  <c r="E26" i="10"/>
  <c r="M25" i="10"/>
  <c r="L25" i="10"/>
  <c r="E25" i="10"/>
  <c r="M24" i="10"/>
  <c r="L24" i="10"/>
  <c r="E24" i="10"/>
  <c r="M23" i="10"/>
  <c r="L23" i="10"/>
  <c r="E23" i="10"/>
  <c r="M22" i="10"/>
  <c r="L22" i="10"/>
  <c r="E22" i="10"/>
  <c r="M21" i="10"/>
  <c r="L21" i="10"/>
  <c r="E21" i="10"/>
  <c r="M20" i="10"/>
  <c r="L20" i="10"/>
  <c r="E20" i="10"/>
  <c r="M19" i="10"/>
  <c r="L19" i="10"/>
  <c r="E19" i="10"/>
  <c r="M18" i="10"/>
  <c r="L18" i="10"/>
  <c r="E18" i="10"/>
  <c r="M17" i="10"/>
  <c r="L17" i="10"/>
  <c r="E17" i="10"/>
  <c r="M16" i="10"/>
  <c r="L16" i="10"/>
  <c r="E16" i="10"/>
  <c r="M15" i="10"/>
  <c r="L15" i="10"/>
  <c r="E15" i="10"/>
  <c r="M14" i="10"/>
  <c r="L14" i="10"/>
  <c r="E14" i="10"/>
  <c r="M13" i="10"/>
  <c r="L13" i="10"/>
  <c r="E13" i="10"/>
  <c r="M12" i="10"/>
  <c r="L12" i="10"/>
  <c r="E12" i="10"/>
  <c r="M11" i="10"/>
  <c r="L11" i="10"/>
  <c r="E11" i="10"/>
  <c r="A11" i="10"/>
  <c r="A12" i="10" s="1"/>
  <c r="F9" i="10"/>
  <c r="E9" i="10" s="1"/>
  <c r="R7" i="10"/>
  <c r="Q7" i="10"/>
  <c r="R6" i="10"/>
  <c r="Q6" i="10"/>
  <c r="R5" i="10"/>
  <c r="Q5" i="10"/>
  <c r="V4" i="10"/>
  <c r="U4" i="10"/>
  <c r="R4" i="10"/>
  <c r="Q4" i="10"/>
  <c r="V3" i="10"/>
  <c r="U3" i="10"/>
  <c r="R3" i="10"/>
  <c r="Q3" i="10"/>
  <c r="V2" i="10"/>
  <c r="U2" i="10"/>
  <c r="R2" i="10"/>
  <c r="Q2" i="10"/>
  <c r="V1" i="10"/>
  <c r="U1" i="10"/>
  <c r="R1" i="10"/>
  <c r="Q1" i="10"/>
  <c r="Y41" i="4" l="1"/>
  <c r="E9" i="12"/>
  <c r="Y40" i="4"/>
  <c r="Y41" i="12"/>
  <c r="E9" i="5"/>
  <c r="Y41" i="15"/>
  <c r="Y41" i="8"/>
  <c r="H11" i="12"/>
  <c r="H11" i="8"/>
  <c r="E9" i="8"/>
  <c r="E9" i="7"/>
  <c r="H11" i="6"/>
  <c r="C11" i="6"/>
  <c r="I9" i="10"/>
  <c r="H9" i="10" s="1"/>
  <c r="J47" i="14"/>
  <c r="J49" i="14" s="1"/>
  <c r="E50" i="14" s="1"/>
  <c r="J47" i="9"/>
  <c r="J49" i="9" s="1"/>
  <c r="E50" i="9" s="1"/>
  <c r="J47" i="1"/>
  <c r="J49" i="1" s="1"/>
  <c r="E50" i="1" s="1"/>
  <c r="J47" i="12"/>
  <c r="J49" i="12" s="1"/>
  <c r="E50" i="12" s="1"/>
  <c r="J47" i="5"/>
  <c r="J49" i="5" s="1"/>
  <c r="E50" i="5" s="1"/>
  <c r="C11" i="10"/>
  <c r="B11" i="10"/>
  <c r="B12" i="10"/>
  <c r="N12" i="10" s="1"/>
  <c r="A13" i="10"/>
  <c r="B13" i="10" s="1"/>
  <c r="N13" i="10" s="1"/>
  <c r="C11" i="8"/>
  <c r="E9" i="1"/>
  <c r="B11" i="14"/>
  <c r="N11" i="14" s="1"/>
  <c r="C11" i="5"/>
  <c r="A13" i="16"/>
  <c r="C12" i="16"/>
  <c r="B12" i="16"/>
  <c r="H12" i="16" s="1"/>
  <c r="C11" i="16"/>
  <c r="I9" i="16"/>
  <c r="H9" i="16" s="1"/>
  <c r="B11" i="16"/>
  <c r="H11" i="16" s="1"/>
  <c r="B12" i="15"/>
  <c r="H12" i="15" s="1"/>
  <c r="A13" i="15"/>
  <c r="C12" i="15"/>
  <c r="B11" i="15"/>
  <c r="H11" i="15" s="1"/>
  <c r="C11" i="15"/>
  <c r="I9" i="15"/>
  <c r="H9" i="15" s="1"/>
  <c r="A13" i="14"/>
  <c r="C12" i="14"/>
  <c r="B12" i="14"/>
  <c r="H12" i="14" s="1"/>
  <c r="C11" i="14"/>
  <c r="I9" i="14"/>
  <c r="H9" i="14" s="1"/>
  <c r="K11" i="12"/>
  <c r="N11" i="12"/>
  <c r="C11" i="12"/>
  <c r="A12" i="12"/>
  <c r="E9" i="9"/>
  <c r="A12" i="9"/>
  <c r="B11" i="9"/>
  <c r="H11" i="9" s="1"/>
  <c r="A12" i="1"/>
  <c r="B11" i="1"/>
  <c r="K11" i="8"/>
  <c r="N11" i="8"/>
  <c r="A12" i="8"/>
  <c r="A13" i="7"/>
  <c r="C12" i="7"/>
  <c r="B12" i="7"/>
  <c r="H12" i="7" s="1"/>
  <c r="B11" i="7"/>
  <c r="C11" i="7"/>
  <c r="K11" i="6"/>
  <c r="N11" i="6"/>
  <c r="E9" i="6"/>
  <c r="A12" i="6"/>
  <c r="A13" i="5"/>
  <c r="B12" i="5"/>
  <c r="H12" i="5" s="1"/>
  <c r="C12" i="5"/>
  <c r="B11" i="5"/>
  <c r="H11" i="5" s="1"/>
  <c r="I9" i="4"/>
  <c r="H9" i="4" s="1"/>
  <c r="A12" i="4"/>
  <c r="B11" i="4"/>
  <c r="H11" i="4" s="1"/>
  <c r="C13" i="10"/>
  <c r="C12" i="10"/>
  <c r="Y44" i="10"/>
  <c r="T41" i="15"/>
  <c r="U41" i="12"/>
  <c r="U41" i="8"/>
  <c r="J47" i="8"/>
  <c r="J49" i="8" s="1"/>
  <c r="J47" i="7"/>
  <c r="J49" i="7" s="1"/>
  <c r="T41" i="6"/>
  <c r="J47" i="6"/>
  <c r="J49" i="6" s="1"/>
  <c r="U41" i="4"/>
  <c r="J47" i="4"/>
  <c r="J49" i="4" s="1"/>
  <c r="T40" i="4"/>
  <c r="J47" i="16"/>
  <c r="J47" i="15"/>
  <c r="J47" i="10"/>
  <c r="I11" i="6" l="1"/>
  <c r="J11" i="6" s="1"/>
  <c r="AJ11" i="6"/>
  <c r="AL11" i="6" s="1"/>
  <c r="I11" i="8"/>
  <c r="J11" i="8" s="1"/>
  <c r="AJ11" i="8"/>
  <c r="I11" i="15"/>
  <c r="J11" i="15" s="1"/>
  <c r="AJ11" i="15"/>
  <c r="AK11" i="15" s="1"/>
  <c r="I11" i="4"/>
  <c r="AJ11" i="4"/>
  <c r="I11" i="5"/>
  <c r="AJ11" i="5"/>
  <c r="I11" i="16"/>
  <c r="J11" i="16" s="1"/>
  <c r="AJ11" i="16"/>
  <c r="I12" i="16"/>
  <c r="J12" i="16" s="1"/>
  <c r="AJ12" i="16"/>
  <c r="I12" i="5"/>
  <c r="AJ12" i="5"/>
  <c r="I12" i="15"/>
  <c r="AJ12" i="15"/>
  <c r="AK12" i="15" s="1"/>
  <c r="I12" i="14"/>
  <c r="AJ12" i="14"/>
  <c r="W11" i="12"/>
  <c r="AJ11" i="12"/>
  <c r="AK11" i="12" s="1"/>
  <c r="I11" i="9"/>
  <c r="J11" i="9" s="1"/>
  <c r="AJ11" i="9"/>
  <c r="I12" i="7"/>
  <c r="AJ11" i="7"/>
  <c r="I11" i="12"/>
  <c r="J11" i="12" s="1"/>
  <c r="A14" i="10"/>
  <c r="A15" i="10" s="1"/>
  <c r="H11" i="14"/>
  <c r="H11" i="1"/>
  <c r="W11" i="8"/>
  <c r="H11" i="7"/>
  <c r="I11" i="7" s="1"/>
  <c r="J11" i="7" s="1"/>
  <c r="H12" i="10"/>
  <c r="H11" i="10"/>
  <c r="H13" i="10"/>
  <c r="J49" i="10"/>
  <c r="J49" i="16"/>
  <c r="J49" i="15"/>
  <c r="E50" i="4"/>
  <c r="E50" i="6"/>
  <c r="E50" i="8"/>
  <c r="E50" i="7"/>
  <c r="K11" i="10"/>
  <c r="N11" i="10"/>
  <c r="K12" i="10"/>
  <c r="K13" i="10"/>
  <c r="S11" i="8"/>
  <c r="U11" i="8" s="1"/>
  <c r="X11" i="8"/>
  <c r="K11" i="14"/>
  <c r="S11" i="12"/>
  <c r="U11" i="12" s="1"/>
  <c r="X11" i="12"/>
  <c r="K12" i="16"/>
  <c r="N12" i="16"/>
  <c r="K11" i="16"/>
  <c r="N11" i="16"/>
  <c r="B13" i="16"/>
  <c r="H13" i="16" s="1"/>
  <c r="A14" i="16"/>
  <c r="C13" i="16"/>
  <c r="K11" i="15"/>
  <c r="N11" i="15"/>
  <c r="B13" i="15"/>
  <c r="H13" i="15" s="1"/>
  <c r="A14" i="15"/>
  <c r="C13" i="15"/>
  <c r="K12" i="15"/>
  <c r="N12" i="15"/>
  <c r="K12" i="14"/>
  <c r="N12" i="14"/>
  <c r="A14" i="14"/>
  <c r="C13" i="14"/>
  <c r="B13" i="14"/>
  <c r="H13" i="14" s="1"/>
  <c r="B12" i="12"/>
  <c r="A13" i="12"/>
  <c r="C12" i="12"/>
  <c r="N11" i="9"/>
  <c r="K11" i="9"/>
  <c r="C12" i="9"/>
  <c r="B12" i="9"/>
  <c r="H12" i="9" s="1"/>
  <c r="A13" i="9"/>
  <c r="K11" i="1"/>
  <c r="N11" i="1"/>
  <c r="C12" i="1"/>
  <c r="B12" i="1"/>
  <c r="H12" i="1" s="1"/>
  <c r="A13" i="1"/>
  <c r="B12" i="8"/>
  <c r="A13" i="8"/>
  <c r="C12" i="8"/>
  <c r="N11" i="7"/>
  <c r="K11" i="7"/>
  <c r="K12" i="7"/>
  <c r="N12" i="7"/>
  <c r="C13" i="7"/>
  <c r="A14" i="7"/>
  <c r="B13" i="7"/>
  <c r="X11" i="6"/>
  <c r="W11" i="6"/>
  <c r="S11" i="6"/>
  <c r="B12" i="6"/>
  <c r="A13" i="6"/>
  <c r="C12" i="6"/>
  <c r="K11" i="5"/>
  <c r="N11" i="5"/>
  <c r="K12" i="5"/>
  <c r="N12" i="5"/>
  <c r="A14" i="5"/>
  <c r="C13" i="5"/>
  <c r="B13" i="5"/>
  <c r="K11" i="4"/>
  <c r="N11" i="4"/>
  <c r="C12" i="4"/>
  <c r="B12" i="4"/>
  <c r="H12" i="4" s="1"/>
  <c r="A13" i="4"/>
  <c r="B14" i="10"/>
  <c r="C14" i="10"/>
  <c r="H14" i="10" l="1"/>
  <c r="I14" i="10"/>
  <c r="J14" i="10" s="1"/>
  <c r="AK11" i="16"/>
  <c r="AL11" i="16" s="1"/>
  <c r="AL12" i="15"/>
  <c r="AL11" i="15"/>
  <c r="AK11" i="8"/>
  <c r="AL11" i="8" s="1"/>
  <c r="AK11" i="7"/>
  <c r="AL11" i="7" s="1"/>
  <c r="AK12" i="5"/>
  <c r="AL12" i="5" s="1"/>
  <c r="AK11" i="4"/>
  <c r="AL11" i="4" s="1"/>
  <c r="AK12" i="16"/>
  <c r="AL12" i="16" s="1"/>
  <c r="AK11" i="5"/>
  <c r="AL11" i="5" s="1"/>
  <c r="AK12" i="14"/>
  <c r="AL12" i="14" s="1"/>
  <c r="AK11" i="9"/>
  <c r="AL11" i="9" s="1"/>
  <c r="I13" i="16"/>
  <c r="J13" i="16" s="1"/>
  <c r="AJ13" i="16"/>
  <c r="AK13" i="16" s="1"/>
  <c r="AL13" i="16" s="1"/>
  <c r="I12" i="1"/>
  <c r="J12" i="1" s="1"/>
  <c r="AJ12" i="1"/>
  <c r="AK12" i="1" s="1"/>
  <c r="AJ14" i="10"/>
  <c r="AK14" i="10" s="1"/>
  <c r="AL14" i="10" s="1"/>
  <c r="I13" i="10"/>
  <c r="J13" i="10" s="1"/>
  <c r="AJ13" i="10"/>
  <c r="AK13" i="10" s="1"/>
  <c r="I11" i="10"/>
  <c r="J11" i="10" s="1"/>
  <c r="AJ11" i="10"/>
  <c r="AL11" i="10" s="1"/>
  <c r="I12" i="10"/>
  <c r="J12" i="10" s="1"/>
  <c r="AJ12" i="10"/>
  <c r="I12" i="4"/>
  <c r="AJ12" i="4"/>
  <c r="AK12" i="4" s="1"/>
  <c r="I11" i="1"/>
  <c r="J11" i="1" s="1"/>
  <c r="AJ11" i="1"/>
  <c r="I13" i="15"/>
  <c r="J13" i="15" s="1"/>
  <c r="AJ13" i="15"/>
  <c r="AK13" i="15" s="1"/>
  <c r="I11" i="14"/>
  <c r="J11" i="14" s="1"/>
  <c r="AJ11" i="14"/>
  <c r="I13" i="14"/>
  <c r="J13" i="14" s="1"/>
  <c r="AJ13" i="14"/>
  <c r="AK13" i="14" s="1"/>
  <c r="AL13" i="14" s="1"/>
  <c r="AL11" i="12"/>
  <c r="Y11" i="12"/>
  <c r="I12" i="9"/>
  <c r="AJ12" i="9"/>
  <c r="AK12" i="9" s="1"/>
  <c r="K12" i="12"/>
  <c r="N12" i="12"/>
  <c r="H12" i="12"/>
  <c r="S11" i="10"/>
  <c r="U11" i="10" s="1"/>
  <c r="X11" i="14"/>
  <c r="W11" i="14"/>
  <c r="H12" i="8"/>
  <c r="Y11" i="8"/>
  <c r="H13" i="7"/>
  <c r="H12" i="6"/>
  <c r="H13" i="5"/>
  <c r="X13" i="10"/>
  <c r="X11" i="10"/>
  <c r="W11" i="10"/>
  <c r="T11" i="12"/>
  <c r="Y11" i="6"/>
  <c r="E50" i="10"/>
  <c r="E50" i="16"/>
  <c r="E50" i="15"/>
  <c r="T11" i="8"/>
  <c r="X12" i="10"/>
  <c r="S12" i="10"/>
  <c r="U12" i="10" s="1"/>
  <c r="W12" i="10"/>
  <c r="W13" i="10"/>
  <c r="S13" i="10"/>
  <c r="S11" i="14"/>
  <c r="U11" i="14" s="1"/>
  <c r="N13" i="16"/>
  <c r="K13" i="16"/>
  <c r="C14" i="16"/>
  <c r="A15" i="16"/>
  <c r="B14" i="16"/>
  <c r="H14" i="16" s="1"/>
  <c r="S11" i="16"/>
  <c r="X11" i="16"/>
  <c r="W11" i="16"/>
  <c r="S12" i="16"/>
  <c r="W12" i="16"/>
  <c r="X12" i="16"/>
  <c r="S12" i="15"/>
  <c r="X12" i="15"/>
  <c r="J12" i="15"/>
  <c r="W12" i="15"/>
  <c r="A15" i="15"/>
  <c r="B14" i="15"/>
  <c r="H14" i="15" s="1"/>
  <c r="C14" i="15"/>
  <c r="K13" i="15"/>
  <c r="N13" i="15"/>
  <c r="X11" i="15"/>
  <c r="S11" i="15"/>
  <c r="W11" i="15"/>
  <c r="A15" i="14"/>
  <c r="C14" i="14"/>
  <c r="B14" i="14"/>
  <c r="W12" i="14"/>
  <c r="S12" i="14"/>
  <c r="X12" i="14"/>
  <c r="J12" i="14"/>
  <c r="K13" i="14"/>
  <c r="N13" i="14"/>
  <c r="B13" i="12"/>
  <c r="A14" i="12"/>
  <c r="C13" i="12"/>
  <c r="C13" i="9"/>
  <c r="B13" i="9"/>
  <c r="H13" i="9" s="1"/>
  <c r="A14" i="9"/>
  <c r="N12" i="9"/>
  <c r="K12" i="9"/>
  <c r="S11" i="9"/>
  <c r="W11" i="9"/>
  <c r="X11" i="9"/>
  <c r="A14" i="1"/>
  <c r="C13" i="1"/>
  <c r="B13" i="1"/>
  <c r="H13" i="1" s="1"/>
  <c r="K12" i="1"/>
  <c r="N12" i="1"/>
  <c r="W11" i="1"/>
  <c r="S11" i="1"/>
  <c r="X11" i="1"/>
  <c r="B13" i="8"/>
  <c r="A14" i="8"/>
  <c r="C13" i="8"/>
  <c r="K12" i="8"/>
  <c r="N12" i="8"/>
  <c r="K13" i="7"/>
  <c r="N13" i="7"/>
  <c r="C14" i="7"/>
  <c r="B14" i="7"/>
  <c r="H14" i="7" s="1"/>
  <c r="A15" i="7"/>
  <c r="W12" i="7"/>
  <c r="S12" i="7"/>
  <c r="X12" i="7"/>
  <c r="J12" i="7"/>
  <c r="X11" i="7"/>
  <c r="W11" i="7"/>
  <c r="S11" i="7"/>
  <c r="K12" i="6"/>
  <c r="N12" i="6"/>
  <c r="T11" i="6"/>
  <c r="U11" i="6"/>
  <c r="B13" i="6"/>
  <c r="H13" i="6" s="1"/>
  <c r="C13" i="6"/>
  <c r="A14" i="6"/>
  <c r="S12" i="5"/>
  <c r="W12" i="5"/>
  <c r="X12" i="5"/>
  <c r="J12" i="5"/>
  <c r="A15" i="5"/>
  <c r="C14" i="5"/>
  <c r="B14" i="5"/>
  <c r="H14" i="5" s="1"/>
  <c r="N13" i="5"/>
  <c r="K13" i="5"/>
  <c r="S11" i="5"/>
  <c r="W11" i="5"/>
  <c r="J11" i="5"/>
  <c r="X11" i="5"/>
  <c r="B13" i="4"/>
  <c r="A14" i="4"/>
  <c r="C13" i="4"/>
  <c r="K12" i="4"/>
  <c r="N12" i="4"/>
  <c r="X11" i="4"/>
  <c r="W11" i="4"/>
  <c r="J11" i="4"/>
  <c r="S11" i="4"/>
  <c r="B15" i="10"/>
  <c r="A16" i="10"/>
  <c r="C15" i="10"/>
  <c r="N14" i="10"/>
  <c r="K14" i="10"/>
  <c r="H15" i="10" l="1"/>
  <c r="AJ15" i="10" s="1"/>
  <c r="AK15" i="10" s="1"/>
  <c r="I15" i="10"/>
  <c r="J15" i="10" s="1"/>
  <c r="AL13" i="15"/>
  <c r="AL12" i="9"/>
  <c r="AL12" i="4"/>
  <c r="AK11" i="14"/>
  <c r="AL11" i="14" s="1"/>
  <c r="AL12" i="1"/>
  <c r="AK11" i="1"/>
  <c r="AL11" i="1" s="1"/>
  <c r="AK12" i="10"/>
  <c r="AL12" i="10" s="1"/>
  <c r="AL13" i="10"/>
  <c r="T11" i="10"/>
  <c r="I14" i="15"/>
  <c r="J14" i="15" s="1"/>
  <c r="AJ14" i="15"/>
  <c r="I13" i="5"/>
  <c r="J13" i="5" s="1"/>
  <c r="AJ13" i="5"/>
  <c r="I12" i="6"/>
  <c r="J12" i="6" s="1"/>
  <c r="AJ12" i="6"/>
  <c r="I13" i="6"/>
  <c r="J13" i="6" s="1"/>
  <c r="AJ13" i="6"/>
  <c r="AK13" i="6" s="1"/>
  <c r="I12" i="8"/>
  <c r="J12" i="8" s="1"/>
  <c r="AJ12" i="8"/>
  <c r="AK12" i="8" s="1"/>
  <c r="I14" i="5"/>
  <c r="J14" i="5" s="1"/>
  <c r="AJ14" i="5"/>
  <c r="I14" i="16"/>
  <c r="J14" i="16" s="1"/>
  <c r="AJ14" i="16"/>
  <c r="AK14" i="16" s="1"/>
  <c r="AL14" i="16" s="1"/>
  <c r="I12" i="12"/>
  <c r="J12" i="12" s="1"/>
  <c r="AJ12" i="12"/>
  <c r="AK12" i="12" s="1"/>
  <c r="I13" i="9"/>
  <c r="AJ13" i="9"/>
  <c r="AK13" i="9" s="1"/>
  <c r="I13" i="1"/>
  <c r="AJ13" i="1"/>
  <c r="AK13" i="1" s="1"/>
  <c r="AL13" i="1" s="1"/>
  <c r="I14" i="7"/>
  <c r="AJ13" i="7"/>
  <c r="AK13" i="7" s="1"/>
  <c r="I13" i="7"/>
  <c r="J13" i="7" s="1"/>
  <c r="AJ12" i="7"/>
  <c r="H14" i="14"/>
  <c r="Y11" i="14"/>
  <c r="K13" i="12"/>
  <c r="N13" i="12"/>
  <c r="H13" i="12"/>
  <c r="Y11" i="10"/>
  <c r="H13" i="8"/>
  <c r="H13" i="4"/>
  <c r="Y13" i="10"/>
  <c r="Y12" i="10"/>
  <c r="Y11" i="16"/>
  <c r="T11" i="14"/>
  <c r="T12" i="10"/>
  <c r="U13" i="10"/>
  <c r="T13" i="10"/>
  <c r="Y11" i="7"/>
  <c r="Y11" i="9"/>
  <c r="K14" i="16"/>
  <c r="N14" i="16"/>
  <c r="T12" i="16"/>
  <c r="U12" i="16"/>
  <c r="B15" i="16"/>
  <c r="H15" i="16" s="1"/>
  <c r="A16" i="16"/>
  <c r="C15" i="16"/>
  <c r="S13" i="16"/>
  <c r="W13" i="16"/>
  <c r="X13" i="16"/>
  <c r="U11" i="16"/>
  <c r="T11" i="16"/>
  <c r="Y12" i="16"/>
  <c r="Y12" i="15"/>
  <c r="K14" i="15"/>
  <c r="N14" i="15"/>
  <c r="Y11" i="15"/>
  <c r="A16" i="15"/>
  <c r="C15" i="15"/>
  <c r="B15" i="15"/>
  <c r="H15" i="15" s="1"/>
  <c r="W13" i="15"/>
  <c r="X13" i="15"/>
  <c r="S13" i="15"/>
  <c r="T11" i="15"/>
  <c r="U11" i="15"/>
  <c r="U12" i="15"/>
  <c r="T12" i="15"/>
  <c r="U12" i="14"/>
  <c r="T12" i="14"/>
  <c r="A16" i="14"/>
  <c r="C15" i="14"/>
  <c r="B15" i="14"/>
  <c r="H15" i="14" s="1"/>
  <c r="W13" i="14"/>
  <c r="S13" i="14"/>
  <c r="X13" i="14"/>
  <c r="Y12" i="14"/>
  <c r="K14" i="14"/>
  <c r="N14" i="14"/>
  <c r="B14" i="12"/>
  <c r="A15" i="12"/>
  <c r="C14" i="12"/>
  <c r="S12" i="12"/>
  <c r="X12" i="12"/>
  <c r="W12" i="12"/>
  <c r="X12" i="9"/>
  <c r="S12" i="9"/>
  <c r="W12" i="9"/>
  <c r="J12" i="9"/>
  <c r="U11" i="9"/>
  <c r="T11" i="9"/>
  <c r="C14" i="9"/>
  <c r="A15" i="9"/>
  <c r="B14" i="9"/>
  <c r="H14" i="9" s="1"/>
  <c r="N13" i="9"/>
  <c r="K13" i="9"/>
  <c r="U11" i="1"/>
  <c r="T11" i="1"/>
  <c r="W12" i="1"/>
  <c r="S12" i="1"/>
  <c r="X12" i="1"/>
  <c r="Y11" i="1"/>
  <c r="K13" i="1"/>
  <c r="N13" i="1"/>
  <c r="A15" i="1"/>
  <c r="C14" i="1"/>
  <c r="B14" i="1"/>
  <c r="H14" i="1" s="1"/>
  <c r="K13" i="8"/>
  <c r="N13" i="8"/>
  <c r="A15" i="8"/>
  <c r="B14" i="8"/>
  <c r="H14" i="8" s="1"/>
  <c r="C14" i="8"/>
  <c r="X12" i="8"/>
  <c r="S12" i="8"/>
  <c r="W12" i="8"/>
  <c r="T11" i="7"/>
  <c r="U11" i="7"/>
  <c r="U12" i="7"/>
  <c r="T12" i="7"/>
  <c r="Y12" i="7"/>
  <c r="X13" i="7"/>
  <c r="W13" i="7"/>
  <c r="S13" i="7"/>
  <c r="C15" i="7"/>
  <c r="A16" i="7"/>
  <c r="B15" i="7"/>
  <c r="N14" i="7"/>
  <c r="K14" i="7"/>
  <c r="B14" i="6"/>
  <c r="H14" i="6" s="1"/>
  <c r="A15" i="6"/>
  <c r="C14" i="6"/>
  <c r="K13" i="6"/>
  <c r="N13" i="6"/>
  <c r="X12" i="6"/>
  <c r="W12" i="6"/>
  <c r="S12" i="6"/>
  <c r="T11" i="5"/>
  <c r="U11" i="5"/>
  <c r="X13" i="5"/>
  <c r="W13" i="5"/>
  <c r="S13" i="5"/>
  <c r="N14" i="5"/>
  <c r="K14" i="5"/>
  <c r="Y12" i="5"/>
  <c r="Y11" i="5"/>
  <c r="A16" i="5"/>
  <c r="C15" i="5"/>
  <c r="B15" i="5"/>
  <c r="H15" i="5" s="1"/>
  <c r="T12" i="5"/>
  <c r="U12" i="5"/>
  <c r="S12" i="4"/>
  <c r="X12" i="4"/>
  <c r="W12" i="4"/>
  <c r="T11" i="4"/>
  <c r="U11" i="4"/>
  <c r="J12" i="4"/>
  <c r="C14" i="4"/>
  <c r="A15" i="4"/>
  <c r="B14" i="4"/>
  <c r="K13" i="4"/>
  <c r="N13" i="4"/>
  <c r="Y11" i="4"/>
  <c r="K15" i="10"/>
  <c r="N15" i="10"/>
  <c r="B16" i="10"/>
  <c r="A17" i="10"/>
  <c r="C16" i="10"/>
  <c r="X14" i="10"/>
  <c r="W14" i="10"/>
  <c r="S14" i="10"/>
  <c r="I16" i="10" l="1"/>
  <c r="J16" i="10" s="1"/>
  <c r="H16" i="10"/>
  <c r="AL13" i="9"/>
  <c r="AL12" i="8"/>
  <c r="AL13" i="7"/>
  <c r="AL12" i="7"/>
  <c r="AK12" i="7"/>
  <c r="AK12" i="6"/>
  <c r="AL12" i="6" s="1"/>
  <c r="AK13" i="5"/>
  <c r="AL13" i="5" s="1"/>
  <c r="AK14" i="5"/>
  <c r="AL14" i="5" s="1"/>
  <c r="AK14" i="15"/>
  <c r="AL14" i="15" s="1"/>
  <c r="AL12" i="12"/>
  <c r="I14" i="6"/>
  <c r="AJ14" i="6"/>
  <c r="I13" i="4"/>
  <c r="J13" i="4" s="1"/>
  <c r="AJ13" i="4"/>
  <c r="AK13" i="4" s="1"/>
  <c r="I14" i="8"/>
  <c r="J14" i="8" s="1"/>
  <c r="AJ14" i="8"/>
  <c r="AK14" i="8" s="1"/>
  <c r="I13" i="8"/>
  <c r="J13" i="8" s="1"/>
  <c r="AJ13" i="8"/>
  <c r="AK13" i="8" s="1"/>
  <c r="AL13" i="6"/>
  <c r="I15" i="15"/>
  <c r="J15" i="15" s="1"/>
  <c r="AJ15" i="15"/>
  <c r="I15" i="5"/>
  <c r="J15" i="5" s="1"/>
  <c r="AJ15" i="5"/>
  <c r="AK15" i="5" s="1"/>
  <c r="AL15" i="10"/>
  <c r="I15" i="16"/>
  <c r="J15" i="16" s="1"/>
  <c r="AJ15" i="16"/>
  <c r="I15" i="14"/>
  <c r="AJ15" i="14"/>
  <c r="AK15" i="14" s="1"/>
  <c r="AL15" i="14" s="1"/>
  <c r="I14" i="14"/>
  <c r="J14" i="14" s="1"/>
  <c r="AJ14" i="14"/>
  <c r="AK14" i="14" s="1"/>
  <c r="AL14" i="14" s="1"/>
  <c r="I13" i="12"/>
  <c r="J13" i="12" s="1"/>
  <c r="AJ13" i="12"/>
  <c r="I14" i="9"/>
  <c r="J14" i="9" s="1"/>
  <c r="AJ14" i="9"/>
  <c r="I14" i="1"/>
  <c r="AJ14" i="1"/>
  <c r="AK14" i="1" s="1"/>
  <c r="N14" i="12"/>
  <c r="K14" i="12"/>
  <c r="H14" i="12"/>
  <c r="Y12" i="12"/>
  <c r="H15" i="7"/>
  <c r="H14" i="4"/>
  <c r="Y12" i="6"/>
  <c r="Y13" i="5"/>
  <c r="Y14" i="10"/>
  <c r="Y12" i="4"/>
  <c r="Y13" i="15"/>
  <c r="K15" i="16"/>
  <c r="N15" i="16"/>
  <c r="T13" i="16"/>
  <c r="U13" i="16"/>
  <c r="W14" i="16"/>
  <c r="X14" i="16"/>
  <c r="S14" i="16"/>
  <c r="Y13" i="16"/>
  <c r="B16" i="16"/>
  <c r="H16" i="16" s="1"/>
  <c r="A17" i="16"/>
  <c r="C16" i="16"/>
  <c r="K15" i="15"/>
  <c r="N15" i="15"/>
  <c r="W14" i="15"/>
  <c r="S14" i="15"/>
  <c r="X14" i="15"/>
  <c r="C16" i="15"/>
  <c r="B16" i="15"/>
  <c r="H16" i="15" s="1"/>
  <c r="A17" i="15"/>
  <c r="U13" i="15"/>
  <c r="T13" i="15"/>
  <c r="K15" i="14"/>
  <c r="N15" i="14"/>
  <c r="W14" i="14"/>
  <c r="S14" i="14"/>
  <c r="X14" i="14"/>
  <c r="U13" i="14"/>
  <c r="T13" i="14"/>
  <c r="A17" i="14"/>
  <c r="C16" i="14"/>
  <c r="B16" i="14"/>
  <c r="H16" i="14" s="1"/>
  <c r="Y13" i="14"/>
  <c r="T12" i="12"/>
  <c r="U12" i="12"/>
  <c r="B15" i="12"/>
  <c r="A16" i="12"/>
  <c r="C15" i="12"/>
  <c r="S13" i="12"/>
  <c r="X13" i="12"/>
  <c r="W13" i="12"/>
  <c r="S13" i="9"/>
  <c r="X13" i="9"/>
  <c r="W13" i="9"/>
  <c r="J13" i="9"/>
  <c r="U12" i="9"/>
  <c r="T12" i="9"/>
  <c r="K14" i="9"/>
  <c r="N14" i="9"/>
  <c r="C15" i="9"/>
  <c r="B15" i="9"/>
  <c r="A16" i="9"/>
  <c r="Y12" i="9"/>
  <c r="K14" i="1"/>
  <c r="N14" i="1"/>
  <c r="U12" i="1"/>
  <c r="T12" i="1"/>
  <c r="S13" i="1"/>
  <c r="X13" i="1"/>
  <c r="W13" i="1"/>
  <c r="Y12" i="1"/>
  <c r="A16" i="1"/>
  <c r="C15" i="1"/>
  <c r="B15" i="1"/>
  <c r="H15" i="1" s="1"/>
  <c r="J13" i="1"/>
  <c r="N14" i="8"/>
  <c r="K14" i="8"/>
  <c r="Y12" i="8"/>
  <c r="A16" i="8"/>
  <c r="B15" i="8"/>
  <c r="H15" i="8" s="1"/>
  <c r="C15" i="8"/>
  <c r="U12" i="8"/>
  <c r="T12" i="8"/>
  <c r="S13" i="8"/>
  <c r="W13" i="8"/>
  <c r="X13" i="8"/>
  <c r="X14" i="7"/>
  <c r="W14" i="7"/>
  <c r="S14" i="7"/>
  <c r="J14" i="7"/>
  <c r="U13" i="7"/>
  <c r="T13" i="7"/>
  <c r="K15" i="7"/>
  <c r="N15" i="7"/>
  <c r="Y13" i="7"/>
  <c r="C16" i="7"/>
  <c r="B16" i="7"/>
  <c r="A17" i="7"/>
  <c r="T12" i="6"/>
  <c r="U12" i="6"/>
  <c r="B15" i="6"/>
  <c r="H15" i="6" s="1"/>
  <c r="A16" i="6"/>
  <c r="C15" i="6"/>
  <c r="S13" i="6"/>
  <c r="W13" i="6"/>
  <c r="X13" i="6"/>
  <c r="N14" i="6"/>
  <c r="K14" i="6"/>
  <c r="A17" i="5"/>
  <c r="C16" i="5"/>
  <c r="B16" i="5"/>
  <c r="H16" i="5" s="1"/>
  <c r="U13" i="5"/>
  <c r="T13" i="5"/>
  <c r="N15" i="5"/>
  <c r="K15" i="5"/>
  <c r="X14" i="5"/>
  <c r="W14" i="5"/>
  <c r="S14" i="5"/>
  <c r="K14" i="4"/>
  <c r="N14" i="4"/>
  <c r="C15" i="4"/>
  <c r="B15" i="4"/>
  <c r="H15" i="4" s="1"/>
  <c r="A16" i="4"/>
  <c r="U12" i="4"/>
  <c r="T12" i="4"/>
  <c r="S13" i="4"/>
  <c r="X13" i="4"/>
  <c r="W13" i="4"/>
  <c r="U14" i="10"/>
  <c r="T14" i="10"/>
  <c r="B17" i="10"/>
  <c r="H17" i="10" s="1"/>
  <c r="A18" i="10"/>
  <c r="C17" i="10"/>
  <c r="S15" i="10"/>
  <c r="W15" i="10"/>
  <c r="X15" i="10"/>
  <c r="K16" i="10"/>
  <c r="N16" i="10"/>
  <c r="AJ16" i="10" l="1"/>
  <c r="AK16" i="10"/>
  <c r="AL16" i="10" s="1"/>
  <c r="AK14" i="9"/>
  <c r="AL14" i="9" s="1"/>
  <c r="AL13" i="4"/>
  <c r="AK15" i="16"/>
  <c r="AL15" i="16" s="1"/>
  <c r="AK15" i="15"/>
  <c r="AL15" i="15" s="1"/>
  <c r="AK13" i="12"/>
  <c r="AL13" i="12" s="1"/>
  <c r="AL13" i="8"/>
  <c r="AL14" i="8"/>
  <c r="AL15" i="5"/>
  <c r="I15" i="6"/>
  <c r="AJ15" i="6"/>
  <c r="AK15" i="6" s="1"/>
  <c r="AL15" i="6" s="1"/>
  <c r="I17" i="10"/>
  <c r="J17" i="10" s="1"/>
  <c r="AJ17" i="10"/>
  <c r="AK17" i="10" s="1"/>
  <c r="I14" i="4"/>
  <c r="J14" i="4" s="1"/>
  <c r="AJ14" i="4"/>
  <c r="I15" i="8"/>
  <c r="AJ15" i="8"/>
  <c r="AK15" i="8" s="1"/>
  <c r="AL15" i="8" s="1"/>
  <c r="I16" i="5"/>
  <c r="AJ16" i="5"/>
  <c r="AK16" i="5" s="1"/>
  <c r="AL16" i="5" s="1"/>
  <c r="I15" i="4"/>
  <c r="J15" i="4" s="1"/>
  <c r="AJ15" i="4"/>
  <c r="AK14" i="6"/>
  <c r="AL14" i="6" s="1"/>
  <c r="I16" i="16"/>
  <c r="J16" i="16" s="1"/>
  <c r="AJ16" i="16"/>
  <c r="AK16" i="16" s="1"/>
  <c r="AL16" i="16" s="1"/>
  <c r="I16" i="15"/>
  <c r="J16" i="15" s="1"/>
  <c r="AJ16" i="15"/>
  <c r="AK16" i="15" s="1"/>
  <c r="AL16" i="15" s="1"/>
  <c r="I16" i="14"/>
  <c r="AJ16" i="14"/>
  <c r="AK16" i="14" s="1"/>
  <c r="AL16" i="14" s="1"/>
  <c r="I14" i="12"/>
  <c r="J14" i="12" s="1"/>
  <c r="AJ14" i="12"/>
  <c r="AK14" i="12" s="1"/>
  <c r="AL14" i="12" s="1"/>
  <c r="I15" i="7"/>
  <c r="J15" i="7" s="1"/>
  <c r="AJ14" i="7"/>
  <c r="AK14" i="7" s="1"/>
  <c r="I15" i="1"/>
  <c r="J15" i="1" s="1"/>
  <c r="AJ15" i="1"/>
  <c r="AK15" i="1" s="1"/>
  <c r="AL14" i="1"/>
  <c r="K15" i="12"/>
  <c r="N15" i="12"/>
  <c r="H15" i="12"/>
  <c r="Y13" i="9"/>
  <c r="H15" i="9"/>
  <c r="H16" i="7"/>
  <c r="Y14" i="7"/>
  <c r="Y15" i="10"/>
  <c r="Y13" i="8"/>
  <c r="Y13" i="1"/>
  <c r="Y14" i="15"/>
  <c r="Y13" i="6"/>
  <c r="Y13" i="4"/>
  <c r="B17" i="16"/>
  <c r="H17" i="16" s="1"/>
  <c r="A18" i="16"/>
  <c r="C17" i="16"/>
  <c r="U14" i="16"/>
  <c r="T14" i="16"/>
  <c r="K16" i="16"/>
  <c r="N16" i="16"/>
  <c r="S15" i="16"/>
  <c r="W15" i="16"/>
  <c r="X15" i="16"/>
  <c r="Y14" i="16"/>
  <c r="C17" i="15"/>
  <c r="B17" i="15"/>
  <c r="H17" i="15" s="1"/>
  <c r="A18" i="15"/>
  <c r="X15" i="15"/>
  <c r="S15" i="15"/>
  <c r="W15" i="15"/>
  <c r="K16" i="15"/>
  <c r="N16" i="15"/>
  <c r="T14" i="15"/>
  <c r="U14" i="15"/>
  <c r="K16" i="14"/>
  <c r="N16" i="14"/>
  <c r="W15" i="14"/>
  <c r="S15" i="14"/>
  <c r="X15" i="14"/>
  <c r="A18" i="14"/>
  <c r="C17" i="14"/>
  <c r="B17" i="14"/>
  <c r="H17" i="14" s="1"/>
  <c r="T14" i="14"/>
  <c r="U14" i="14"/>
  <c r="J15" i="14"/>
  <c r="Y14" i="14"/>
  <c r="T13" i="12"/>
  <c r="U13" i="12"/>
  <c r="B16" i="12"/>
  <c r="A17" i="12"/>
  <c r="C16" i="12"/>
  <c r="Y13" i="12"/>
  <c r="W14" i="12"/>
  <c r="S14" i="12"/>
  <c r="X14" i="12"/>
  <c r="C16" i="9"/>
  <c r="B16" i="9"/>
  <c r="H16" i="9" s="1"/>
  <c r="A17" i="9"/>
  <c r="S14" i="9"/>
  <c r="X14" i="9"/>
  <c r="W14" i="9"/>
  <c r="U13" i="9"/>
  <c r="T13" i="9"/>
  <c r="K15" i="9"/>
  <c r="N15" i="9"/>
  <c r="U13" i="1"/>
  <c r="T13" i="1"/>
  <c r="K15" i="1"/>
  <c r="N15" i="1"/>
  <c r="X14" i="1"/>
  <c r="S14" i="1"/>
  <c r="W14" i="1"/>
  <c r="A17" i="1"/>
  <c r="C16" i="1"/>
  <c r="B16" i="1"/>
  <c r="H16" i="1" s="1"/>
  <c r="J14" i="1"/>
  <c r="U13" i="8"/>
  <c r="T13" i="8"/>
  <c r="N15" i="8"/>
  <c r="K15" i="8"/>
  <c r="A17" i="8"/>
  <c r="C16" i="8"/>
  <c r="B16" i="8"/>
  <c r="H16" i="8" s="1"/>
  <c r="S14" i="8"/>
  <c r="X14" i="8"/>
  <c r="W14" i="8"/>
  <c r="K16" i="7"/>
  <c r="N16" i="7"/>
  <c r="W15" i="7"/>
  <c r="X15" i="7"/>
  <c r="S15" i="7"/>
  <c r="C17" i="7"/>
  <c r="B17" i="7"/>
  <c r="H17" i="7" s="1"/>
  <c r="A18" i="7"/>
  <c r="U14" i="7"/>
  <c r="T14" i="7"/>
  <c r="U13" i="6"/>
  <c r="T13" i="6"/>
  <c r="B16" i="6"/>
  <c r="H16" i="6" s="1"/>
  <c r="C16" i="6"/>
  <c r="A17" i="6"/>
  <c r="N15" i="6"/>
  <c r="K15" i="6"/>
  <c r="X14" i="6"/>
  <c r="S14" i="6"/>
  <c r="W14" i="6"/>
  <c r="J14" i="6"/>
  <c r="K16" i="5"/>
  <c r="N16" i="5"/>
  <c r="U14" i="5"/>
  <c r="T14" i="5"/>
  <c r="Y14" i="5"/>
  <c r="A18" i="5"/>
  <c r="C17" i="5"/>
  <c r="B17" i="5"/>
  <c r="H17" i="5" s="1"/>
  <c r="X15" i="5"/>
  <c r="W15" i="5"/>
  <c r="S15" i="5"/>
  <c r="U13" i="4"/>
  <c r="T13" i="4"/>
  <c r="C16" i="4"/>
  <c r="B16" i="4"/>
  <c r="H16" i="4" s="1"/>
  <c r="A17" i="4"/>
  <c r="K15" i="4"/>
  <c r="N15" i="4"/>
  <c r="W14" i="4"/>
  <c r="S14" i="4"/>
  <c r="X14" i="4"/>
  <c r="N17" i="10"/>
  <c r="K17" i="10"/>
  <c r="S16" i="10"/>
  <c r="X16" i="10"/>
  <c r="W16" i="10"/>
  <c r="T15" i="10"/>
  <c r="U15" i="10"/>
  <c r="C18" i="10"/>
  <c r="B18" i="10"/>
  <c r="H18" i="10" s="1"/>
  <c r="A19" i="10"/>
  <c r="AL14" i="7" l="1"/>
  <c r="AK14" i="4"/>
  <c r="AL14" i="4" s="1"/>
  <c r="AL17" i="10"/>
  <c r="AK15" i="4"/>
  <c r="AL15" i="4" s="1"/>
  <c r="I16" i="4"/>
  <c r="J16" i="4" s="1"/>
  <c r="AJ16" i="4"/>
  <c r="AK16" i="4" s="1"/>
  <c r="AL16" i="4" s="1"/>
  <c r="I16" i="9"/>
  <c r="J16" i="9" s="1"/>
  <c r="AJ16" i="9"/>
  <c r="I16" i="8"/>
  <c r="AJ16" i="8"/>
  <c r="AK16" i="8" s="1"/>
  <c r="AL16" i="8" s="1"/>
  <c r="I17" i="5"/>
  <c r="J17" i="5" s="1"/>
  <c r="AJ17" i="5"/>
  <c r="AK17" i="5" s="1"/>
  <c r="AL17" i="5" s="1"/>
  <c r="I16" i="6"/>
  <c r="AJ16" i="6"/>
  <c r="AK16" i="6" s="1"/>
  <c r="I18" i="10"/>
  <c r="J18" i="10" s="1"/>
  <c r="AJ18" i="10"/>
  <c r="I17" i="16"/>
  <c r="J17" i="16" s="1"/>
  <c r="AJ17" i="16"/>
  <c r="AK17" i="16" s="1"/>
  <c r="I17" i="15"/>
  <c r="J17" i="15" s="1"/>
  <c r="AJ17" i="15"/>
  <c r="I17" i="14"/>
  <c r="J17" i="14" s="1"/>
  <c r="AJ17" i="14"/>
  <c r="AK17" i="14" s="1"/>
  <c r="AL17" i="14" s="1"/>
  <c r="I15" i="12"/>
  <c r="J15" i="12" s="1"/>
  <c r="AJ15" i="12"/>
  <c r="AK15" i="12" s="1"/>
  <c r="AL15" i="12" s="1"/>
  <c r="I16" i="1"/>
  <c r="AJ16" i="1"/>
  <c r="AK16" i="1" s="1"/>
  <c r="AL16" i="1" s="1"/>
  <c r="I15" i="9"/>
  <c r="J15" i="9" s="1"/>
  <c r="AJ15" i="9"/>
  <c r="AK15" i="9" s="1"/>
  <c r="AL15" i="9" s="1"/>
  <c r="I16" i="7"/>
  <c r="J16" i="7" s="1"/>
  <c r="AJ15" i="7"/>
  <c r="AK15" i="7" s="1"/>
  <c r="AL15" i="7" s="1"/>
  <c r="I17" i="7"/>
  <c r="J17" i="7" s="1"/>
  <c r="AJ16" i="7"/>
  <c r="AL15" i="1"/>
  <c r="H16" i="12"/>
  <c r="K16" i="12"/>
  <c r="N16" i="12"/>
  <c r="Y14" i="4"/>
  <c r="Y15" i="16"/>
  <c r="Y14" i="9"/>
  <c r="Y14" i="1"/>
  <c r="Y15" i="14"/>
  <c r="Y14" i="8"/>
  <c r="Y15" i="5"/>
  <c r="Y16" i="10"/>
  <c r="A19" i="16"/>
  <c r="B18" i="16"/>
  <c r="H18" i="16" s="1"/>
  <c r="C18" i="16"/>
  <c r="K17" i="16"/>
  <c r="N17" i="16"/>
  <c r="U15" i="16"/>
  <c r="T15" i="16"/>
  <c r="X16" i="16"/>
  <c r="S16" i="16"/>
  <c r="W16" i="16"/>
  <c r="K17" i="15"/>
  <c r="N17" i="15"/>
  <c r="W16" i="15"/>
  <c r="X16" i="15"/>
  <c r="S16" i="15"/>
  <c r="U15" i="15"/>
  <c r="T15" i="15"/>
  <c r="Y15" i="15"/>
  <c r="C18" i="15"/>
  <c r="A19" i="15"/>
  <c r="B18" i="15"/>
  <c r="H18" i="15" s="1"/>
  <c r="W16" i="14"/>
  <c r="S16" i="14"/>
  <c r="X16" i="14"/>
  <c r="A19" i="14"/>
  <c r="C18" i="14"/>
  <c r="B18" i="14"/>
  <c r="H18" i="14" s="1"/>
  <c r="J16" i="14"/>
  <c r="N17" i="14"/>
  <c r="K17" i="14"/>
  <c r="U15" i="14"/>
  <c r="T15" i="14"/>
  <c r="Y14" i="12"/>
  <c r="U14" i="12"/>
  <c r="T14" i="12"/>
  <c r="B17" i="12"/>
  <c r="A18" i="12"/>
  <c r="C17" i="12"/>
  <c r="S15" i="12"/>
  <c r="X15" i="12"/>
  <c r="W15" i="12"/>
  <c r="W15" i="9"/>
  <c r="S15" i="9"/>
  <c r="X15" i="9"/>
  <c r="T14" i="9"/>
  <c r="U14" i="9"/>
  <c r="C17" i="9"/>
  <c r="B17" i="9"/>
  <c r="H17" i="9" s="1"/>
  <c r="A18" i="9"/>
  <c r="K16" i="9"/>
  <c r="N16" i="9"/>
  <c r="A18" i="1"/>
  <c r="C17" i="1"/>
  <c r="B17" i="1"/>
  <c r="H17" i="1" s="1"/>
  <c r="K16" i="1"/>
  <c r="N16" i="1"/>
  <c r="U14" i="1"/>
  <c r="T14" i="1"/>
  <c r="S15" i="1"/>
  <c r="X15" i="1"/>
  <c r="W15" i="1"/>
  <c r="B17" i="8"/>
  <c r="H17" i="8" s="1"/>
  <c r="C17" i="8"/>
  <c r="A18" i="8"/>
  <c r="U14" i="8"/>
  <c r="T14" i="8"/>
  <c r="S15" i="8"/>
  <c r="W15" i="8"/>
  <c r="X15" i="8"/>
  <c r="K16" i="8"/>
  <c r="N16" i="8"/>
  <c r="J15" i="8"/>
  <c r="K17" i="7"/>
  <c r="N17" i="7"/>
  <c r="Y15" i="7"/>
  <c r="W16" i="7"/>
  <c r="S16" i="7"/>
  <c r="X16" i="7"/>
  <c r="C18" i="7"/>
  <c r="B18" i="7"/>
  <c r="H18" i="7" s="1"/>
  <c r="A19" i="7"/>
  <c r="U15" i="7"/>
  <c r="T15" i="7"/>
  <c r="K16" i="6"/>
  <c r="N16" i="6"/>
  <c r="X15" i="6"/>
  <c r="W15" i="6"/>
  <c r="S15" i="6"/>
  <c r="T14" i="6"/>
  <c r="U14" i="6"/>
  <c r="Y14" i="6"/>
  <c r="J15" i="6"/>
  <c r="B17" i="6"/>
  <c r="A18" i="6"/>
  <c r="C17" i="6"/>
  <c r="K17" i="5"/>
  <c r="N17" i="5"/>
  <c r="U15" i="5"/>
  <c r="T15" i="5"/>
  <c r="W16" i="5"/>
  <c r="S16" i="5"/>
  <c r="X16" i="5"/>
  <c r="A19" i="5"/>
  <c r="C18" i="5"/>
  <c r="B18" i="5"/>
  <c r="H18" i="5" s="1"/>
  <c r="J16" i="5"/>
  <c r="U14" i="4"/>
  <c r="T14" i="4"/>
  <c r="W15" i="4"/>
  <c r="S15" i="4"/>
  <c r="X15" i="4"/>
  <c r="C17" i="4"/>
  <c r="B17" i="4"/>
  <c r="H17" i="4" s="1"/>
  <c r="A18" i="4"/>
  <c r="K16" i="4"/>
  <c r="N16" i="4"/>
  <c r="U16" i="10"/>
  <c r="T16" i="10"/>
  <c r="C19" i="10"/>
  <c r="B19" i="10"/>
  <c r="H19" i="10" s="1"/>
  <c r="A20" i="10"/>
  <c r="S17" i="10"/>
  <c r="W17" i="10"/>
  <c r="X17" i="10"/>
  <c r="K18" i="10"/>
  <c r="N18" i="10"/>
  <c r="AL17" i="16" l="1"/>
  <c r="AK16" i="9"/>
  <c r="AL16" i="9" s="1"/>
  <c r="AK16" i="7"/>
  <c r="AL16" i="7" s="1"/>
  <c r="AK18" i="10"/>
  <c r="AL18" i="10" s="1"/>
  <c r="AL16" i="6"/>
  <c r="I17" i="4"/>
  <c r="AJ17" i="4"/>
  <c r="AK17" i="4" s="1"/>
  <c r="I17" i="8"/>
  <c r="AJ17" i="8"/>
  <c r="AK17" i="8" s="1"/>
  <c r="AL17" i="8" s="1"/>
  <c r="I18" i="5"/>
  <c r="AJ18" i="5"/>
  <c r="AK18" i="5" s="1"/>
  <c r="I19" i="10"/>
  <c r="AJ19" i="10"/>
  <c r="AK19" i="10" s="1"/>
  <c r="AL19" i="10" s="1"/>
  <c r="I18" i="16"/>
  <c r="J18" i="16" s="1"/>
  <c r="AJ18" i="16"/>
  <c r="AK18" i="16" s="1"/>
  <c r="AL18" i="16" s="1"/>
  <c r="I18" i="15"/>
  <c r="J18" i="15" s="1"/>
  <c r="AJ18" i="15"/>
  <c r="AK18" i="15" s="1"/>
  <c r="AL18" i="15" s="1"/>
  <c r="AK17" i="15"/>
  <c r="AL17" i="15" s="1"/>
  <c r="I18" i="14"/>
  <c r="J18" i="14" s="1"/>
  <c r="AJ18" i="14"/>
  <c r="AK18" i="14" s="1"/>
  <c r="AL18" i="14" s="1"/>
  <c r="I16" i="12"/>
  <c r="J16" i="12" s="1"/>
  <c r="AJ16" i="12"/>
  <c r="AK16" i="12" s="1"/>
  <c r="AL16" i="12" s="1"/>
  <c r="I17" i="1"/>
  <c r="AJ17" i="1"/>
  <c r="AK17" i="1" s="1"/>
  <c r="I17" i="9"/>
  <c r="AJ17" i="9"/>
  <c r="AK17" i="9" s="1"/>
  <c r="AL17" i="9" s="1"/>
  <c r="I18" i="7"/>
  <c r="AJ17" i="7"/>
  <c r="AK17" i="7" s="1"/>
  <c r="AL17" i="7" s="1"/>
  <c r="N17" i="12"/>
  <c r="K17" i="12"/>
  <c r="H17" i="12"/>
  <c r="H17" i="6"/>
  <c r="Y15" i="1"/>
  <c r="Y15" i="6"/>
  <c r="Y16" i="15"/>
  <c r="Y16" i="5"/>
  <c r="K18" i="16"/>
  <c r="N18" i="16"/>
  <c r="A20" i="16"/>
  <c r="C19" i="16"/>
  <c r="B19" i="16"/>
  <c r="H19" i="16" s="1"/>
  <c r="U16" i="16"/>
  <c r="T16" i="16"/>
  <c r="Y16" i="16"/>
  <c r="W17" i="16"/>
  <c r="X17" i="16"/>
  <c r="S17" i="16"/>
  <c r="U16" i="15"/>
  <c r="T16" i="15"/>
  <c r="W17" i="15"/>
  <c r="X17" i="15"/>
  <c r="S17" i="15"/>
  <c r="K18" i="15"/>
  <c r="N18" i="15"/>
  <c r="A20" i="15"/>
  <c r="B19" i="15"/>
  <c r="H19" i="15" s="1"/>
  <c r="C19" i="15"/>
  <c r="N18" i="14"/>
  <c r="K18" i="14"/>
  <c r="T16" i="14"/>
  <c r="U16" i="14"/>
  <c r="Y16" i="14"/>
  <c r="X17" i="14"/>
  <c r="W17" i="14"/>
  <c r="S17" i="14"/>
  <c r="A20" i="14"/>
  <c r="C19" i="14"/>
  <c r="B19" i="14"/>
  <c r="H19" i="14" s="1"/>
  <c r="Y15" i="12"/>
  <c r="B18" i="12"/>
  <c r="A19" i="12"/>
  <c r="C18" i="12"/>
  <c r="X16" i="12"/>
  <c r="W16" i="12"/>
  <c r="S16" i="12"/>
  <c r="U15" i="12"/>
  <c r="T15" i="12"/>
  <c r="T15" i="9"/>
  <c r="U15" i="9"/>
  <c r="W16" i="9"/>
  <c r="S16" i="9"/>
  <c r="X16" i="9"/>
  <c r="Y15" i="9"/>
  <c r="C18" i="9"/>
  <c r="B18" i="9"/>
  <c r="H18" i="9" s="1"/>
  <c r="A19" i="9"/>
  <c r="K17" i="9"/>
  <c r="N17" i="9"/>
  <c r="K17" i="1"/>
  <c r="N17" i="1"/>
  <c r="S16" i="1"/>
  <c r="X16" i="1"/>
  <c r="W16" i="1"/>
  <c r="J16" i="1"/>
  <c r="A19" i="1"/>
  <c r="C18" i="1"/>
  <c r="B18" i="1"/>
  <c r="U15" i="1"/>
  <c r="T15" i="1"/>
  <c r="X16" i="8"/>
  <c r="S16" i="8"/>
  <c r="W16" i="8"/>
  <c r="T15" i="8"/>
  <c r="U15" i="8"/>
  <c r="J16" i="8"/>
  <c r="K17" i="8"/>
  <c r="N17" i="8"/>
  <c r="Y15" i="8"/>
  <c r="A19" i="8"/>
  <c r="C18" i="8"/>
  <c r="B18" i="8"/>
  <c r="H18" i="8" s="1"/>
  <c r="U16" i="7"/>
  <c r="T16" i="7"/>
  <c r="K18" i="7"/>
  <c r="N18" i="7"/>
  <c r="Y16" i="7"/>
  <c r="C19" i="7"/>
  <c r="B19" i="7"/>
  <c r="H19" i="7" s="1"/>
  <c r="A20" i="7"/>
  <c r="W17" i="7"/>
  <c r="S17" i="7"/>
  <c r="X17" i="7"/>
  <c r="N17" i="6"/>
  <c r="K17" i="6"/>
  <c r="U15" i="6"/>
  <c r="T15" i="6"/>
  <c r="S16" i="6"/>
  <c r="W16" i="6"/>
  <c r="X16" i="6"/>
  <c r="J16" i="6"/>
  <c r="B18" i="6"/>
  <c r="A19" i="6"/>
  <c r="C18" i="6"/>
  <c r="N18" i="5"/>
  <c r="K18" i="5"/>
  <c r="A20" i="5"/>
  <c r="B19" i="5"/>
  <c r="H19" i="5" s="1"/>
  <c r="C19" i="5"/>
  <c r="U16" i="5"/>
  <c r="T16" i="5"/>
  <c r="X17" i="5"/>
  <c r="S17" i="5"/>
  <c r="W17" i="5"/>
  <c r="K17" i="4"/>
  <c r="N17" i="4"/>
  <c r="C18" i="4"/>
  <c r="B18" i="4"/>
  <c r="H18" i="4" s="1"/>
  <c r="A19" i="4"/>
  <c r="U15" i="4"/>
  <c r="T15" i="4"/>
  <c r="W16" i="4"/>
  <c r="X16" i="4"/>
  <c r="S16" i="4"/>
  <c r="Y15" i="4"/>
  <c r="N19" i="10"/>
  <c r="K19" i="10"/>
  <c r="J19" i="10"/>
  <c r="C20" i="10"/>
  <c r="B20" i="10"/>
  <c r="H20" i="10" s="1"/>
  <c r="A21" i="10"/>
  <c r="Y17" i="10"/>
  <c r="U17" i="10"/>
  <c r="T17" i="10"/>
  <c r="X18" i="10"/>
  <c r="W18" i="10"/>
  <c r="S18" i="10"/>
  <c r="AL18" i="5" l="1"/>
  <c r="AL17" i="4"/>
  <c r="I20" i="10"/>
  <c r="J20" i="10" s="1"/>
  <c r="AJ20" i="10"/>
  <c r="AK20" i="10" s="1"/>
  <c r="AL20" i="10" s="1"/>
  <c r="I19" i="5"/>
  <c r="J19" i="5" s="1"/>
  <c r="AJ19" i="5"/>
  <c r="AK19" i="5" s="1"/>
  <c r="AL19" i="5" s="1"/>
  <c r="I19" i="16"/>
  <c r="J19" i="16" s="1"/>
  <c r="AJ19" i="16"/>
  <c r="AK19" i="16" s="1"/>
  <c r="I18" i="4"/>
  <c r="AJ18" i="4"/>
  <c r="AK18" i="4" s="1"/>
  <c r="AL18" i="4" s="1"/>
  <c r="I17" i="6"/>
  <c r="J17" i="6" s="1"/>
  <c r="AJ17" i="6"/>
  <c r="I18" i="8"/>
  <c r="J18" i="8" s="1"/>
  <c r="AJ18" i="8"/>
  <c r="AK18" i="8" s="1"/>
  <c r="AL18" i="8" s="1"/>
  <c r="I19" i="15"/>
  <c r="J19" i="15" s="1"/>
  <c r="AJ19" i="15"/>
  <c r="I19" i="14"/>
  <c r="J19" i="14" s="1"/>
  <c r="AJ19" i="14"/>
  <c r="I17" i="12"/>
  <c r="J17" i="12" s="1"/>
  <c r="AJ17" i="12"/>
  <c r="AK17" i="12" s="1"/>
  <c r="AL17" i="1"/>
  <c r="I18" i="9"/>
  <c r="AJ18" i="9"/>
  <c r="AK18" i="9" s="1"/>
  <c r="AL18" i="9" s="1"/>
  <c r="I19" i="7"/>
  <c r="J19" i="7" s="1"/>
  <c r="AJ18" i="7"/>
  <c r="AK18" i="7" s="1"/>
  <c r="AL18" i="7" s="1"/>
  <c r="K18" i="12"/>
  <c r="N18" i="12"/>
  <c r="H18" i="12"/>
  <c r="H18" i="1"/>
  <c r="H18" i="6"/>
  <c r="Y16" i="12"/>
  <c r="Y16" i="8"/>
  <c r="Y16" i="6"/>
  <c r="Y16" i="4"/>
  <c r="Y17" i="14"/>
  <c r="Y18" i="10"/>
  <c r="Y17" i="15"/>
  <c r="K19" i="16"/>
  <c r="N19" i="16"/>
  <c r="T17" i="16"/>
  <c r="U17" i="16"/>
  <c r="B20" i="16"/>
  <c r="H20" i="16" s="1"/>
  <c r="A21" i="16"/>
  <c r="C20" i="16"/>
  <c r="S18" i="16"/>
  <c r="X18" i="16"/>
  <c r="W18" i="16"/>
  <c r="Y17" i="16"/>
  <c r="A21" i="15"/>
  <c r="C20" i="15"/>
  <c r="B20" i="15"/>
  <c r="H20" i="15" s="1"/>
  <c r="U17" i="15"/>
  <c r="T17" i="15"/>
  <c r="K19" i="15"/>
  <c r="N19" i="15"/>
  <c r="X18" i="15"/>
  <c r="S18" i="15"/>
  <c r="W18" i="15"/>
  <c r="A21" i="14"/>
  <c r="C20" i="14"/>
  <c r="B20" i="14"/>
  <c r="H20" i="14" s="1"/>
  <c r="U17" i="14"/>
  <c r="T17" i="14"/>
  <c r="K19" i="14"/>
  <c r="N19" i="14"/>
  <c r="X18" i="14"/>
  <c r="W18" i="14"/>
  <c r="S18" i="14"/>
  <c r="B19" i="12"/>
  <c r="A20" i="12"/>
  <c r="C19" i="12"/>
  <c r="S17" i="12"/>
  <c r="X17" i="12"/>
  <c r="W17" i="12"/>
  <c r="U16" i="12"/>
  <c r="T16" i="12"/>
  <c r="S17" i="9"/>
  <c r="W17" i="9"/>
  <c r="X17" i="9"/>
  <c r="J17" i="9"/>
  <c r="C19" i="9"/>
  <c r="B19" i="9"/>
  <c r="H19" i="9" s="1"/>
  <c r="A20" i="9"/>
  <c r="K18" i="9"/>
  <c r="N18" i="9"/>
  <c r="T16" i="9"/>
  <c r="U16" i="9"/>
  <c r="Y16" i="9"/>
  <c r="X17" i="1"/>
  <c r="S17" i="1"/>
  <c r="W17" i="1"/>
  <c r="N18" i="1"/>
  <c r="K18" i="1"/>
  <c r="J17" i="1"/>
  <c r="Y16" i="1"/>
  <c r="T16" i="1"/>
  <c r="U16" i="1"/>
  <c r="C19" i="1"/>
  <c r="A20" i="1"/>
  <c r="B19" i="1"/>
  <c r="H19" i="1" s="1"/>
  <c r="S17" i="8"/>
  <c r="X17" i="8"/>
  <c r="W17" i="8"/>
  <c r="U16" i="8"/>
  <c r="T16" i="8"/>
  <c r="J17" i="8"/>
  <c r="N18" i="8"/>
  <c r="K18" i="8"/>
  <c r="A20" i="8"/>
  <c r="C19" i="8"/>
  <c r="B19" i="8"/>
  <c r="C20" i="7"/>
  <c r="B20" i="7"/>
  <c r="H20" i="7" s="1"/>
  <c r="A21" i="7"/>
  <c r="X18" i="7"/>
  <c r="W18" i="7"/>
  <c r="S18" i="7"/>
  <c r="K19" i="7"/>
  <c r="N19" i="7"/>
  <c r="J18" i="7"/>
  <c r="U17" i="7"/>
  <c r="T17" i="7"/>
  <c r="Y17" i="7"/>
  <c r="N18" i="6"/>
  <c r="K18" i="6"/>
  <c r="S17" i="6"/>
  <c r="X17" i="6"/>
  <c r="W17" i="6"/>
  <c r="U16" i="6"/>
  <c r="T16" i="6"/>
  <c r="A20" i="6"/>
  <c r="B19" i="6"/>
  <c r="H19" i="6" s="1"/>
  <c r="C19" i="6"/>
  <c r="Y17" i="5"/>
  <c r="C20" i="5"/>
  <c r="A21" i="5"/>
  <c r="B20" i="5"/>
  <c r="H20" i="5" s="1"/>
  <c r="X18" i="5"/>
  <c r="W18" i="5"/>
  <c r="S18" i="5"/>
  <c r="U17" i="5"/>
  <c r="T17" i="5"/>
  <c r="J18" i="5"/>
  <c r="K19" i="5"/>
  <c r="N19" i="5"/>
  <c r="T16" i="4"/>
  <c r="U16" i="4"/>
  <c r="C19" i="4"/>
  <c r="B19" i="4"/>
  <c r="H19" i="4" s="1"/>
  <c r="A20" i="4"/>
  <c r="K18" i="4"/>
  <c r="N18" i="4"/>
  <c r="S17" i="4"/>
  <c r="X17" i="4"/>
  <c r="W17" i="4"/>
  <c r="J17" i="4"/>
  <c r="N20" i="10"/>
  <c r="K20" i="10"/>
  <c r="C21" i="10"/>
  <c r="B21" i="10"/>
  <c r="H21" i="10" s="1"/>
  <c r="A22" i="10"/>
  <c r="S19" i="10"/>
  <c r="X19" i="10"/>
  <c r="W19" i="10"/>
  <c r="T18" i="10"/>
  <c r="U18" i="10"/>
  <c r="AL19" i="16" l="1"/>
  <c r="I20" i="16"/>
  <c r="J20" i="16" s="1"/>
  <c r="AJ20" i="16"/>
  <c r="I19" i="4"/>
  <c r="AJ19" i="4"/>
  <c r="AK19" i="4" s="1"/>
  <c r="AL19" i="4" s="1"/>
  <c r="AK17" i="6"/>
  <c r="AL17" i="6" s="1"/>
  <c r="I19" i="6"/>
  <c r="J19" i="6" s="1"/>
  <c r="AJ19" i="6"/>
  <c r="AK19" i="6" s="1"/>
  <c r="I21" i="10"/>
  <c r="J21" i="10" s="1"/>
  <c r="AJ21" i="10"/>
  <c r="AK21" i="10" s="1"/>
  <c r="I19" i="1"/>
  <c r="AJ19" i="1"/>
  <c r="AK19" i="1" s="1"/>
  <c r="AL19" i="1" s="1"/>
  <c r="I18" i="6"/>
  <c r="J18" i="6" s="1"/>
  <c r="AJ18" i="6"/>
  <c r="AK18" i="6" s="1"/>
  <c r="AL18" i="6" s="1"/>
  <c r="I18" i="1"/>
  <c r="J18" i="1" s="1"/>
  <c r="AJ18" i="1"/>
  <c r="AK18" i="1" s="1"/>
  <c r="AL18" i="1" s="1"/>
  <c r="I20" i="5"/>
  <c r="J20" i="5" s="1"/>
  <c r="AJ20" i="5"/>
  <c r="AK20" i="5" s="1"/>
  <c r="AL20" i="5" s="1"/>
  <c r="I20" i="15"/>
  <c r="J20" i="15" s="1"/>
  <c r="AJ20" i="15"/>
  <c r="AK20" i="15" s="1"/>
  <c r="AL20" i="15" s="1"/>
  <c r="AK19" i="15"/>
  <c r="AL19" i="15" s="1"/>
  <c r="I20" i="14"/>
  <c r="J20" i="14" s="1"/>
  <c r="AJ20" i="14"/>
  <c r="AK20" i="14" s="1"/>
  <c r="AL20" i="14" s="1"/>
  <c r="AK19" i="14"/>
  <c r="AL19" i="14" s="1"/>
  <c r="I18" i="12"/>
  <c r="J18" i="12" s="1"/>
  <c r="AJ18" i="12"/>
  <c r="AK18" i="12" s="1"/>
  <c r="AL18" i="12" s="1"/>
  <c r="AL17" i="12"/>
  <c r="I19" i="9"/>
  <c r="AJ19" i="9"/>
  <c r="AK19" i="9" s="1"/>
  <c r="AL19" i="9" s="1"/>
  <c r="I20" i="7"/>
  <c r="J20" i="7" s="1"/>
  <c r="AJ19" i="7"/>
  <c r="AK19" i="7" s="1"/>
  <c r="AL19" i="7" s="1"/>
  <c r="K19" i="12"/>
  <c r="N19" i="12"/>
  <c r="H19" i="12"/>
  <c r="Y19" i="10"/>
  <c r="H19" i="8"/>
  <c r="Y18" i="5"/>
  <c r="Y18" i="7"/>
  <c r="Y17" i="8"/>
  <c r="Y17" i="9"/>
  <c r="Y18" i="14"/>
  <c r="Y17" i="1"/>
  <c r="Y17" i="6"/>
  <c r="Y18" i="16"/>
  <c r="C21" i="16"/>
  <c r="B21" i="16"/>
  <c r="H21" i="16" s="1"/>
  <c r="A22" i="16"/>
  <c r="X19" i="16"/>
  <c r="S19" i="16"/>
  <c r="W19" i="16"/>
  <c r="N20" i="16"/>
  <c r="K20" i="16"/>
  <c r="U18" i="16"/>
  <c r="T18" i="16"/>
  <c r="K20" i="15"/>
  <c r="N20" i="15"/>
  <c r="S19" i="15"/>
  <c r="X19" i="15"/>
  <c r="W19" i="15"/>
  <c r="Y18" i="15"/>
  <c r="A22" i="15"/>
  <c r="C21" i="15"/>
  <c r="B21" i="15"/>
  <c r="T18" i="15"/>
  <c r="U18" i="15"/>
  <c r="K20" i="14"/>
  <c r="N20" i="14"/>
  <c r="A22" i="14"/>
  <c r="C21" i="14"/>
  <c r="B21" i="14"/>
  <c r="H21" i="14" s="1"/>
  <c r="U18" i="14"/>
  <c r="T18" i="14"/>
  <c r="W19" i="14"/>
  <c r="S19" i="14"/>
  <c r="X19" i="14"/>
  <c r="Y17" i="12"/>
  <c r="B20" i="12"/>
  <c r="A21" i="12"/>
  <c r="C20" i="12"/>
  <c r="U17" i="12"/>
  <c r="T17" i="12"/>
  <c r="X18" i="12"/>
  <c r="W18" i="12"/>
  <c r="S18" i="12"/>
  <c r="S18" i="9"/>
  <c r="X18" i="9"/>
  <c r="W18" i="9"/>
  <c r="J18" i="9"/>
  <c r="C20" i="9"/>
  <c r="B20" i="9"/>
  <c r="H20" i="9" s="1"/>
  <c r="A21" i="9"/>
  <c r="T17" i="9"/>
  <c r="U17" i="9"/>
  <c r="K19" i="9"/>
  <c r="N19" i="9"/>
  <c r="X18" i="1"/>
  <c r="W18" i="1"/>
  <c r="S18" i="1"/>
  <c r="N19" i="1"/>
  <c r="K19" i="1"/>
  <c r="C20" i="1"/>
  <c r="A21" i="1"/>
  <c r="B20" i="1"/>
  <c r="H20" i="1" s="1"/>
  <c r="T17" i="1"/>
  <c r="U17" i="1"/>
  <c r="C20" i="8"/>
  <c r="A21" i="8"/>
  <c r="B20" i="8"/>
  <c r="S18" i="8"/>
  <c r="W18" i="8"/>
  <c r="X18" i="8"/>
  <c r="N19" i="8"/>
  <c r="K19" i="8"/>
  <c r="T17" i="8"/>
  <c r="U17" i="8"/>
  <c r="U18" i="7"/>
  <c r="T18" i="7"/>
  <c r="W19" i="7"/>
  <c r="S19" i="7"/>
  <c r="X19" i="7"/>
  <c r="C21" i="7"/>
  <c r="B21" i="7"/>
  <c r="H21" i="7" s="1"/>
  <c r="A22" i="7"/>
  <c r="K20" i="7"/>
  <c r="N20" i="7"/>
  <c r="A21" i="6"/>
  <c r="C20" i="6"/>
  <c r="B20" i="6"/>
  <c r="H20" i="6" s="1"/>
  <c r="U17" i="6"/>
  <c r="T17" i="6"/>
  <c r="K19" i="6"/>
  <c r="N19" i="6"/>
  <c r="S18" i="6"/>
  <c r="X18" i="6"/>
  <c r="W18" i="6"/>
  <c r="N20" i="5"/>
  <c r="K20" i="5"/>
  <c r="S19" i="5"/>
  <c r="X19" i="5"/>
  <c r="W19" i="5"/>
  <c r="T18" i="5"/>
  <c r="U18" i="5"/>
  <c r="C21" i="5"/>
  <c r="B21" i="5"/>
  <c r="H21" i="5" s="1"/>
  <c r="A22" i="5"/>
  <c r="T17" i="4"/>
  <c r="U17" i="4"/>
  <c r="W18" i="4"/>
  <c r="S18" i="4"/>
  <c r="X18" i="4"/>
  <c r="Y17" i="4"/>
  <c r="J18" i="4"/>
  <c r="C20" i="4"/>
  <c r="A21" i="4"/>
  <c r="B20" i="4"/>
  <c r="K19" i="4"/>
  <c r="N19" i="4"/>
  <c r="N21" i="10"/>
  <c r="K21" i="10"/>
  <c r="C22" i="10"/>
  <c r="B22" i="10"/>
  <c r="H22" i="10" s="1"/>
  <c r="A23" i="10"/>
  <c r="U19" i="10"/>
  <c r="T19" i="10"/>
  <c r="X20" i="10"/>
  <c r="S20" i="10"/>
  <c r="W20" i="10"/>
  <c r="AL21" i="10" l="1"/>
  <c r="AK20" i="16"/>
  <c r="AL20" i="16" s="1"/>
  <c r="AL19" i="6"/>
  <c r="AJ20" i="6"/>
  <c r="AK20" i="6" s="1"/>
  <c r="I22" i="10"/>
  <c r="J22" i="10" s="1"/>
  <c r="AJ22" i="10"/>
  <c r="AK22" i="10" s="1"/>
  <c r="I19" i="8"/>
  <c r="J19" i="8" s="1"/>
  <c r="AJ19" i="8"/>
  <c r="AK19" i="8" s="1"/>
  <c r="AL19" i="8" s="1"/>
  <c r="I21" i="5"/>
  <c r="J21" i="5" s="1"/>
  <c r="AJ21" i="5"/>
  <c r="I21" i="16"/>
  <c r="J21" i="16" s="1"/>
  <c r="AJ21" i="16"/>
  <c r="AK21" i="16" s="1"/>
  <c r="I21" i="14"/>
  <c r="AJ21" i="14"/>
  <c r="I19" i="12"/>
  <c r="J19" i="12" s="1"/>
  <c r="AJ19" i="12"/>
  <c r="AK19" i="12" s="1"/>
  <c r="AL19" i="12" s="1"/>
  <c r="I20" i="1"/>
  <c r="AJ20" i="1"/>
  <c r="AK20" i="1" s="1"/>
  <c r="AL20" i="1" s="1"/>
  <c r="I20" i="9"/>
  <c r="AJ20" i="9"/>
  <c r="AK20" i="9" s="1"/>
  <c r="AL20" i="9" s="1"/>
  <c r="I21" i="7"/>
  <c r="AJ20" i="7"/>
  <c r="AK20" i="7" s="1"/>
  <c r="AL20" i="7" s="1"/>
  <c r="N20" i="12"/>
  <c r="K20" i="12"/>
  <c r="H20" i="12"/>
  <c r="H21" i="15"/>
  <c r="Y18" i="12"/>
  <c r="Y18" i="1"/>
  <c r="Y19" i="16"/>
  <c r="H20" i="8"/>
  <c r="H20" i="4"/>
  <c r="Y19" i="15"/>
  <c r="J19" i="1"/>
  <c r="Y18" i="6"/>
  <c r="N21" i="16"/>
  <c r="K21" i="16"/>
  <c r="T19" i="16"/>
  <c r="U19" i="16"/>
  <c r="S20" i="16"/>
  <c r="W20" i="16"/>
  <c r="X20" i="16"/>
  <c r="C22" i="16"/>
  <c r="A23" i="16"/>
  <c r="B22" i="16"/>
  <c r="H22" i="16" s="1"/>
  <c r="K21" i="15"/>
  <c r="N21" i="15"/>
  <c r="C22" i="15"/>
  <c r="A23" i="15"/>
  <c r="B22" i="15"/>
  <c r="H22" i="15" s="1"/>
  <c r="U19" i="15"/>
  <c r="T19" i="15"/>
  <c r="X20" i="15"/>
  <c r="W20" i="15"/>
  <c r="S20" i="15"/>
  <c r="Y19" i="14"/>
  <c r="U19" i="14"/>
  <c r="T19" i="14"/>
  <c r="K21" i="14"/>
  <c r="N21" i="14"/>
  <c r="A23" i="14"/>
  <c r="C22" i="14"/>
  <c r="B22" i="14"/>
  <c r="H22" i="14" s="1"/>
  <c r="W20" i="14"/>
  <c r="S20" i="14"/>
  <c r="X20" i="14"/>
  <c r="T18" i="12"/>
  <c r="U18" i="12"/>
  <c r="S19" i="12"/>
  <c r="X19" i="12"/>
  <c r="W19" i="12"/>
  <c r="B21" i="12"/>
  <c r="A22" i="12"/>
  <c r="C21" i="12"/>
  <c r="X19" i="9"/>
  <c r="W19" i="9"/>
  <c r="S19" i="9"/>
  <c r="J19" i="9"/>
  <c r="C21" i="9"/>
  <c r="B21" i="9"/>
  <c r="H21" i="9" s="1"/>
  <c r="A22" i="9"/>
  <c r="Y18" i="9"/>
  <c r="K20" i="9"/>
  <c r="N20" i="9"/>
  <c r="T18" i="9"/>
  <c r="U18" i="9"/>
  <c r="X19" i="1"/>
  <c r="S19" i="1"/>
  <c r="W19" i="1"/>
  <c r="K20" i="1"/>
  <c r="N20" i="1"/>
  <c r="T18" i="1"/>
  <c r="U18" i="1"/>
  <c r="C21" i="1"/>
  <c r="B21" i="1"/>
  <c r="H21" i="1" s="1"/>
  <c r="A22" i="1"/>
  <c r="S19" i="8"/>
  <c r="X19" i="8"/>
  <c r="W19" i="8"/>
  <c r="A22" i="8"/>
  <c r="C21" i="8"/>
  <c r="B21" i="8"/>
  <c r="Y18" i="8"/>
  <c r="T18" i="8"/>
  <c r="U18" i="8"/>
  <c r="K20" i="8"/>
  <c r="N20" i="8"/>
  <c r="C22" i="7"/>
  <c r="A23" i="7"/>
  <c r="B22" i="7"/>
  <c r="T19" i="7"/>
  <c r="U19" i="7"/>
  <c r="K21" i="7"/>
  <c r="N21" i="7"/>
  <c r="Y19" i="7"/>
  <c r="X20" i="7"/>
  <c r="S20" i="7"/>
  <c r="W20" i="7"/>
  <c r="W19" i="6"/>
  <c r="X19" i="6"/>
  <c r="S19" i="6"/>
  <c r="U18" i="6"/>
  <c r="T18" i="6"/>
  <c r="K20" i="6"/>
  <c r="N20" i="6"/>
  <c r="A22" i="6"/>
  <c r="C21" i="6"/>
  <c r="B21" i="6"/>
  <c r="H21" i="6" s="1"/>
  <c r="K21" i="5"/>
  <c r="N21" i="5"/>
  <c r="Y19" i="5"/>
  <c r="C22" i="5"/>
  <c r="B22" i="5"/>
  <c r="H22" i="5" s="1"/>
  <c r="A23" i="5"/>
  <c r="T19" i="5"/>
  <c r="U19" i="5"/>
  <c r="S20" i="5"/>
  <c r="W20" i="5"/>
  <c r="X20" i="5"/>
  <c r="U18" i="4"/>
  <c r="T18" i="4"/>
  <c r="W19" i="4"/>
  <c r="X19" i="4"/>
  <c r="S19" i="4"/>
  <c r="Y18" i="4"/>
  <c r="K20" i="4"/>
  <c r="N20" i="4"/>
  <c r="J19" i="4"/>
  <c r="B21" i="4"/>
  <c r="A22" i="4"/>
  <c r="C21" i="4"/>
  <c r="N22" i="10"/>
  <c r="K22" i="10"/>
  <c r="U20" i="10"/>
  <c r="T20" i="10"/>
  <c r="C23" i="10"/>
  <c r="B23" i="10"/>
  <c r="H23" i="10" s="1"/>
  <c r="A24" i="10"/>
  <c r="W21" i="10"/>
  <c r="S21" i="10"/>
  <c r="X21" i="10"/>
  <c r="Y20" i="10"/>
  <c r="AL20" i="6" l="1"/>
  <c r="AK21" i="5"/>
  <c r="AL21" i="5" s="1"/>
  <c r="I21" i="15"/>
  <c r="J21" i="15" s="1"/>
  <c r="AJ21" i="15"/>
  <c r="AK21" i="15" s="1"/>
  <c r="I22" i="5"/>
  <c r="J22" i="5" s="1"/>
  <c r="AJ22" i="5"/>
  <c r="AK22" i="5" s="1"/>
  <c r="I22" i="15"/>
  <c r="J22" i="15" s="1"/>
  <c r="AJ22" i="15"/>
  <c r="AL22" i="10"/>
  <c r="AJ21" i="6"/>
  <c r="AK21" i="6" s="1"/>
  <c r="AL21" i="6" s="1"/>
  <c r="I20" i="4"/>
  <c r="J20" i="4" s="1"/>
  <c r="AJ20" i="4"/>
  <c r="AK20" i="4" s="1"/>
  <c r="AL20" i="4" s="1"/>
  <c r="I23" i="10"/>
  <c r="J23" i="10" s="1"/>
  <c r="AJ23" i="10"/>
  <c r="AK23" i="10" s="1"/>
  <c r="AL23" i="10" s="1"/>
  <c r="I20" i="8"/>
  <c r="J20" i="8" s="1"/>
  <c r="AJ20" i="8"/>
  <c r="I22" i="16"/>
  <c r="J22" i="16" s="1"/>
  <c r="AJ22" i="16"/>
  <c r="AL21" i="16"/>
  <c r="I22" i="14"/>
  <c r="AJ22" i="14"/>
  <c r="AK22" i="14" s="1"/>
  <c r="AL22" i="14" s="1"/>
  <c r="AK21" i="14"/>
  <c r="AL21" i="14" s="1"/>
  <c r="I20" i="12"/>
  <c r="J20" i="12" s="1"/>
  <c r="AJ20" i="12"/>
  <c r="AK20" i="12" s="1"/>
  <c r="I21" i="1"/>
  <c r="J21" i="1" s="1"/>
  <c r="AJ21" i="1"/>
  <c r="AK21" i="1" s="1"/>
  <c r="AL21" i="1" s="1"/>
  <c r="I21" i="9"/>
  <c r="AJ21" i="9"/>
  <c r="H21" i="8"/>
  <c r="H21" i="12"/>
  <c r="N21" i="12"/>
  <c r="K21" i="12"/>
  <c r="H22" i="7"/>
  <c r="H21" i="4"/>
  <c r="Y20" i="5"/>
  <c r="Y19" i="1"/>
  <c r="Y19" i="4"/>
  <c r="Y21" i="10"/>
  <c r="Y20" i="7"/>
  <c r="Y19" i="9"/>
  <c r="Y19" i="12"/>
  <c r="Y20" i="16"/>
  <c r="Y19" i="8"/>
  <c r="Y19" i="6"/>
  <c r="K22" i="16"/>
  <c r="N22" i="16"/>
  <c r="C23" i="16"/>
  <c r="B23" i="16"/>
  <c r="H23" i="16" s="1"/>
  <c r="A24" i="16"/>
  <c r="U20" i="16"/>
  <c r="T20" i="16"/>
  <c r="W21" i="16"/>
  <c r="S21" i="16"/>
  <c r="X21" i="16"/>
  <c r="B23" i="15"/>
  <c r="H23" i="15" s="1"/>
  <c r="A24" i="15"/>
  <c r="C23" i="15"/>
  <c r="T20" i="15"/>
  <c r="U20" i="15"/>
  <c r="Y20" i="15"/>
  <c r="K22" i="15"/>
  <c r="N22" i="15"/>
  <c r="X21" i="15"/>
  <c r="S21" i="15"/>
  <c r="W21" i="15"/>
  <c r="U20" i="14"/>
  <c r="T20" i="14"/>
  <c r="C23" i="14"/>
  <c r="A24" i="14"/>
  <c r="B23" i="14"/>
  <c r="S21" i="14"/>
  <c r="X21" i="14"/>
  <c r="W21" i="14"/>
  <c r="Y20" i="14"/>
  <c r="J21" i="14"/>
  <c r="K22" i="14"/>
  <c r="N22" i="14"/>
  <c r="S20" i="12"/>
  <c r="X20" i="12"/>
  <c r="W20" i="12"/>
  <c r="T19" i="12"/>
  <c r="U19" i="12"/>
  <c r="B22" i="12"/>
  <c r="A23" i="12"/>
  <c r="C22" i="12"/>
  <c r="W20" i="9"/>
  <c r="X20" i="9"/>
  <c r="S20" i="9"/>
  <c r="J20" i="9"/>
  <c r="C22" i="9"/>
  <c r="A23" i="9"/>
  <c r="B22" i="9"/>
  <c r="H22" i="9" s="1"/>
  <c r="T19" i="9"/>
  <c r="U19" i="9"/>
  <c r="K21" i="9"/>
  <c r="N21" i="9"/>
  <c r="C22" i="1"/>
  <c r="B22" i="1"/>
  <c r="H22" i="1" s="1"/>
  <c r="A23" i="1"/>
  <c r="X20" i="1"/>
  <c r="W20" i="1"/>
  <c r="S20" i="1"/>
  <c r="K21" i="1"/>
  <c r="N21" i="1"/>
  <c r="J20" i="1"/>
  <c r="T19" i="1"/>
  <c r="U19" i="1"/>
  <c r="N21" i="8"/>
  <c r="K21" i="8"/>
  <c r="X20" i="8"/>
  <c r="W20" i="8"/>
  <c r="S20" i="8"/>
  <c r="A23" i="8"/>
  <c r="C22" i="8"/>
  <c r="B22" i="8"/>
  <c r="H22" i="8" s="1"/>
  <c r="T19" i="8"/>
  <c r="U19" i="8"/>
  <c r="S21" i="7"/>
  <c r="X21" i="7"/>
  <c r="W21" i="7"/>
  <c r="U20" i="7"/>
  <c r="T20" i="7"/>
  <c r="K22" i="7"/>
  <c r="N22" i="7"/>
  <c r="J21" i="7"/>
  <c r="B23" i="7"/>
  <c r="A24" i="7"/>
  <c r="C23" i="7"/>
  <c r="X20" i="6"/>
  <c r="S20" i="6"/>
  <c r="W20" i="6"/>
  <c r="T19" i="6"/>
  <c r="U19" i="6"/>
  <c r="A23" i="6"/>
  <c r="C22" i="6"/>
  <c r="B22" i="6"/>
  <c r="H22" i="6" s="1"/>
  <c r="K21" i="6"/>
  <c r="N21" i="6"/>
  <c r="A24" i="5"/>
  <c r="C23" i="5"/>
  <c r="B23" i="5"/>
  <c r="H23" i="5" s="1"/>
  <c r="K22" i="5"/>
  <c r="N22" i="5"/>
  <c r="T20" i="5"/>
  <c r="U20" i="5"/>
  <c r="X21" i="5"/>
  <c r="W21" i="5"/>
  <c r="S21" i="5"/>
  <c r="N21" i="4"/>
  <c r="K21" i="4"/>
  <c r="S20" i="4"/>
  <c r="W20" i="4"/>
  <c r="X20" i="4"/>
  <c r="C22" i="4"/>
  <c r="B22" i="4"/>
  <c r="H22" i="4" s="1"/>
  <c r="A23" i="4"/>
  <c r="T19" i="4"/>
  <c r="U19" i="4"/>
  <c r="N23" i="10"/>
  <c r="K23" i="10"/>
  <c r="U21" i="10"/>
  <c r="T21" i="10"/>
  <c r="W22" i="10"/>
  <c r="X22" i="10"/>
  <c r="S22" i="10"/>
  <c r="C24" i="10"/>
  <c r="B24" i="10"/>
  <c r="H24" i="10" s="1"/>
  <c r="A25" i="10"/>
  <c r="AK22" i="15" l="1"/>
  <c r="AL22" i="15" s="1"/>
  <c r="AL21" i="15"/>
  <c r="AL20" i="12"/>
  <c r="AK20" i="8"/>
  <c r="AL20" i="8" s="1"/>
  <c r="AL22" i="5"/>
  <c r="I24" i="10"/>
  <c r="J24" i="10" s="1"/>
  <c r="AJ24" i="10"/>
  <c r="I22" i="8"/>
  <c r="J22" i="8" s="1"/>
  <c r="AJ22" i="8"/>
  <c r="I21" i="4"/>
  <c r="J21" i="4" s="1"/>
  <c r="AJ21" i="4"/>
  <c r="AK21" i="4" s="1"/>
  <c r="AL21" i="4" s="1"/>
  <c r="I23" i="16"/>
  <c r="J23" i="16" s="1"/>
  <c r="AJ23" i="16"/>
  <c r="I23" i="5"/>
  <c r="J23" i="5" s="1"/>
  <c r="AJ23" i="5"/>
  <c r="AK23" i="5" s="1"/>
  <c r="AL23" i="5" s="1"/>
  <c r="I21" i="8"/>
  <c r="J21" i="8" s="1"/>
  <c r="AJ21" i="8"/>
  <c r="AK21" i="8" s="1"/>
  <c r="I22" i="9"/>
  <c r="J22" i="9" s="1"/>
  <c r="AJ22" i="9"/>
  <c r="I22" i="4"/>
  <c r="J22" i="4" s="1"/>
  <c r="AJ22" i="4"/>
  <c r="I22" i="6"/>
  <c r="J22" i="6" s="1"/>
  <c r="AJ22" i="6"/>
  <c r="AK22" i="6" s="1"/>
  <c r="AK22" i="16"/>
  <c r="AL22" i="16" s="1"/>
  <c r="I23" i="15"/>
  <c r="J23" i="15" s="1"/>
  <c r="AJ23" i="15"/>
  <c r="AK23" i="15" s="1"/>
  <c r="I21" i="12"/>
  <c r="J21" i="12" s="1"/>
  <c r="AJ21" i="12"/>
  <c r="AK21" i="12" s="1"/>
  <c r="AL21" i="12" s="1"/>
  <c r="I22" i="1"/>
  <c r="J22" i="1" s="1"/>
  <c r="AJ22" i="1"/>
  <c r="AK22" i="1" s="1"/>
  <c r="AL22" i="1" s="1"/>
  <c r="AK21" i="9"/>
  <c r="AL21" i="9" s="1"/>
  <c r="I22" i="7"/>
  <c r="J22" i="7" s="1"/>
  <c r="AJ21" i="7"/>
  <c r="N22" i="12"/>
  <c r="H22" i="12"/>
  <c r="K22" i="12"/>
  <c r="H23" i="14"/>
  <c r="H23" i="7"/>
  <c r="Y20" i="1"/>
  <c r="Y21" i="7"/>
  <c r="Y21" i="15"/>
  <c r="Y20" i="6"/>
  <c r="Y21" i="16"/>
  <c r="Y20" i="12"/>
  <c r="T21" i="16"/>
  <c r="U21" i="16"/>
  <c r="C24" i="16"/>
  <c r="B24" i="16"/>
  <c r="A25" i="16"/>
  <c r="K23" i="16"/>
  <c r="N23" i="16"/>
  <c r="W22" i="16"/>
  <c r="X22" i="16"/>
  <c r="S22" i="16"/>
  <c r="T22" i="16" s="1"/>
  <c r="U21" i="15"/>
  <c r="X22" i="15"/>
  <c r="W22" i="15"/>
  <c r="S22" i="15"/>
  <c r="A25" i="15"/>
  <c r="B24" i="15"/>
  <c r="H24" i="15" s="1"/>
  <c r="C24" i="15"/>
  <c r="K23" i="15"/>
  <c r="N23" i="15"/>
  <c r="W22" i="14"/>
  <c r="S22" i="14"/>
  <c r="X22" i="14"/>
  <c r="J22" i="14"/>
  <c r="Y21" i="14"/>
  <c r="C24" i="14"/>
  <c r="A25" i="14"/>
  <c r="B24" i="14"/>
  <c r="H24" i="14" s="1"/>
  <c r="T21" i="14"/>
  <c r="U21" i="14"/>
  <c r="N23" i="14"/>
  <c r="K23" i="14"/>
  <c r="B23" i="12"/>
  <c r="A24" i="12"/>
  <c r="C23" i="12"/>
  <c r="T20" i="12"/>
  <c r="U20" i="12"/>
  <c r="X21" i="12"/>
  <c r="S21" i="12"/>
  <c r="W21" i="12"/>
  <c r="S21" i="9"/>
  <c r="X21" i="9"/>
  <c r="W21" i="9"/>
  <c r="B23" i="9"/>
  <c r="H23" i="9" s="1"/>
  <c r="A24" i="9"/>
  <c r="C23" i="9"/>
  <c r="J21" i="9"/>
  <c r="K22" i="9"/>
  <c r="N22" i="9"/>
  <c r="U20" i="9"/>
  <c r="T20" i="9"/>
  <c r="Y20" i="9"/>
  <c r="T20" i="1"/>
  <c r="U20" i="1"/>
  <c r="X21" i="1"/>
  <c r="S21" i="1"/>
  <c r="W21" i="1"/>
  <c r="C23" i="1"/>
  <c r="B23" i="1"/>
  <c r="H23" i="1" s="1"/>
  <c r="A24" i="1"/>
  <c r="K22" i="1"/>
  <c r="N22" i="1"/>
  <c r="C23" i="8"/>
  <c r="A24" i="8"/>
  <c r="B23" i="8"/>
  <c r="H23" i="8" s="1"/>
  <c r="T20" i="8"/>
  <c r="U20" i="8"/>
  <c r="K22" i="8"/>
  <c r="N22" i="8"/>
  <c r="Y20" i="8"/>
  <c r="X21" i="8"/>
  <c r="W21" i="8"/>
  <c r="S21" i="8"/>
  <c r="B24" i="7"/>
  <c r="H24" i="7" s="1"/>
  <c r="A25" i="7"/>
  <c r="C24" i="7"/>
  <c r="K23" i="7"/>
  <c r="N23" i="7"/>
  <c r="S22" i="7"/>
  <c r="W22" i="7"/>
  <c r="X22" i="7"/>
  <c r="T21" i="7"/>
  <c r="U21" i="7"/>
  <c r="K22" i="6"/>
  <c r="N22" i="6"/>
  <c r="W21" i="6"/>
  <c r="S21" i="6"/>
  <c r="X21" i="6"/>
  <c r="A24" i="6"/>
  <c r="C23" i="6"/>
  <c r="B23" i="6"/>
  <c r="H23" i="6" s="1"/>
  <c r="U20" i="6"/>
  <c r="T20" i="6"/>
  <c r="Y21" i="5"/>
  <c r="X22" i="5"/>
  <c r="W22" i="5"/>
  <c r="S22" i="5"/>
  <c r="K23" i="5"/>
  <c r="N23" i="5"/>
  <c r="T21" i="5"/>
  <c r="U21" i="5"/>
  <c r="B24" i="5"/>
  <c r="H24" i="5" s="1"/>
  <c r="A25" i="5"/>
  <c r="C24" i="5"/>
  <c r="C23" i="4"/>
  <c r="B23" i="4"/>
  <c r="H23" i="4" s="1"/>
  <c r="A24" i="4"/>
  <c r="K22" i="4"/>
  <c r="N22" i="4"/>
  <c r="Y20" i="4"/>
  <c r="U20" i="4"/>
  <c r="T20" i="4"/>
  <c r="X21" i="4"/>
  <c r="S21" i="4"/>
  <c r="W21" i="4"/>
  <c r="C25" i="10"/>
  <c r="B25" i="10"/>
  <c r="H25" i="10" s="1"/>
  <c r="A26" i="10"/>
  <c r="S23" i="10"/>
  <c r="W23" i="10"/>
  <c r="X23" i="10"/>
  <c r="K24" i="10"/>
  <c r="N24" i="10"/>
  <c r="Y22" i="10"/>
  <c r="U22" i="10"/>
  <c r="T22" i="10"/>
  <c r="AK24" i="10" l="1"/>
  <c r="AL24" i="10" s="1"/>
  <c r="AK22" i="9"/>
  <c r="AL22" i="9" s="1"/>
  <c r="AL21" i="8"/>
  <c r="AK22" i="4"/>
  <c r="AL22" i="4" s="1"/>
  <c r="I25" i="10"/>
  <c r="J25" i="10" s="1"/>
  <c r="AJ25" i="10"/>
  <c r="AK23" i="16"/>
  <c r="AL23" i="16" s="1"/>
  <c r="I23" i="8"/>
  <c r="J23" i="8" s="1"/>
  <c r="AJ23" i="8"/>
  <c r="AK23" i="8" s="1"/>
  <c r="I23" i="4"/>
  <c r="J23" i="4" s="1"/>
  <c r="AJ23" i="4"/>
  <c r="AK23" i="4" s="1"/>
  <c r="AL23" i="4" s="1"/>
  <c r="I23" i="6"/>
  <c r="J23" i="6" s="1"/>
  <c r="AJ23" i="6"/>
  <c r="AK22" i="8"/>
  <c r="AL22" i="8" s="1"/>
  <c r="I24" i="5"/>
  <c r="AJ24" i="5"/>
  <c r="AK24" i="5" s="1"/>
  <c r="AL24" i="5" s="1"/>
  <c r="I23" i="9"/>
  <c r="J23" i="9" s="1"/>
  <c r="AJ23" i="9"/>
  <c r="AK23" i="9" s="1"/>
  <c r="AL22" i="6"/>
  <c r="I24" i="15"/>
  <c r="J24" i="15" s="1"/>
  <c r="AJ24" i="15"/>
  <c r="AK24" i="15" s="1"/>
  <c r="AL24" i="15" s="1"/>
  <c r="AL23" i="15"/>
  <c r="I24" i="14"/>
  <c r="J24" i="14" s="1"/>
  <c r="AJ24" i="14"/>
  <c r="I23" i="14"/>
  <c r="J23" i="14" s="1"/>
  <c r="AJ23" i="14"/>
  <c r="I22" i="12"/>
  <c r="J22" i="12" s="1"/>
  <c r="AJ22" i="12"/>
  <c r="AK22" i="12" s="1"/>
  <c r="AL22" i="12" s="1"/>
  <c r="I23" i="1"/>
  <c r="J23" i="1" s="1"/>
  <c r="AJ23" i="1"/>
  <c r="AK23" i="1" s="1"/>
  <c r="AL23" i="1" s="1"/>
  <c r="I24" i="7"/>
  <c r="J24" i="7" s="1"/>
  <c r="AJ23" i="7"/>
  <c r="I23" i="7"/>
  <c r="J23" i="7" s="1"/>
  <c r="AJ22" i="7"/>
  <c r="AK22" i="7" s="1"/>
  <c r="AL22" i="7" s="1"/>
  <c r="AK21" i="7"/>
  <c r="AL21" i="7" s="1"/>
  <c r="H24" i="16"/>
  <c r="H23" i="12"/>
  <c r="K23" i="12"/>
  <c r="N23" i="12"/>
  <c r="Y22" i="16"/>
  <c r="Y21" i="12"/>
  <c r="Y21" i="4"/>
  <c r="Y21" i="6"/>
  <c r="Y21" i="1"/>
  <c r="Y21" i="9"/>
  <c r="Y21" i="8"/>
  <c r="Y22" i="7"/>
  <c r="Y22" i="5"/>
  <c r="K24" i="16"/>
  <c r="N24" i="16"/>
  <c r="S23" i="16"/>
  <c r="X23" i="16"/>
  <c r="W23" i="16"/>
  <c r="U22" i="16"/>
  <c r="C25" i="16"/>
  <c r="B25" i="16"/>
  <c r="H25" i="16" s="1"/>
  <c r="A26" i="16"/>
  <c r="Y22" i="15"/>
  <c r="K24" i="15"/>
  <c r="N24" i="15"/>
  <c r="A26" i="15"/>
  <c r="C25" i="15"/>
  <c r="B25" i="15"/>
  <c r="H25" i="15" s="1"/>
  <c r="W23" i="15"/>
  <c r="X23" i="15"/>
  <c r="S23" i="15"/>
  <c r="U22" i="15"/>
  <c r="T22" i="15"/>
  <c r="K24" i="14"/>
  <c r="N24" i="14"/>
  <c r="W23" i="14"/>
  <c r="S23" i="14"/>
  <c r="X23" i="14"/>
  <c r="A26" i="14"/>
  <c r="C25" i="14"/>
  <c r="B25" i="14"/>
  <c r="H25" i="14" s="1"/>
  <c r="U22" i="14"/>
  <c r="T22" i="14"/>
  <c r="Y22" i="14"/>
  <c r="X22" i="12"/>
  <c r="S22" i="12"/>
  <c r="W22" i="12"/>
  <c r="U21" i="12"/>
  <c r="T21" i="12"/>
  <c r="B24" i="12"/>
  <c r="A25" i="12"/>
  <c r="C24" i="12"/>
  <c r="K23" i="9"/>
  <c r="N23" i="9"/>
  <c r="S22" i="9"/>
  <c r="X22" i="9"/>
  <c r="W22" i="9"/>
  <c r="B24" i="9"/>
  <c r="H24" i="9" s="1"/>
  <c r="A25" i="9"/>
  <c r="C24" i="9"/>
  <c r="T21" i="9"/>
  <c r="U21" i="9"/>
  <c r="C24" i="1"/>
  <c r="B24" i="1"/>
  <c r="H24" i="1" s="1"/>
  <c r="A25" i="1"/>
  <c r="U21" i="1"/>
  <c r="T21" i="1"/>
  <c r="K23" i="1"/>
  <c r="N23" i="1"/>
  <c r="X22" i="1"/>
  <c r="W22" i="1"/>
  <c r="S22" i="1"/>
  <c r="N23" i="8"/>
  <c r="K23" i="8"/>
  <c r="T21" i="8"/>
  <c r="U21" i="8"/>
  <c r="X22" i="8"/>
  <c r="W22" i="8"/>
  <c r="S22" i="8"/>
  <c r="A25" i="8"/>
  <c r="C24" i="8"/>
  <c r="B24" i="8"/>
  <c r="H24" i="8" s="1"/>
  <c r="U22" i="7"/>
  <c r="T22" i="7"/>
  <c r="S23" i="7"/>
  <c r="X23" i="7"/>
  <c r="W23" i="7"/>
  <c r="B25" i="7"/>
  <c r="H25" i="7" s="1"/>
  <c r="A26" i="7"/>
  <c r="C25" i="7"/>
  <c r="K24" i="7"/>
  <c r="N24" i="7"/>
  <c r="C24" i="6"/>
  <c r="A25" i="6"/>
  <c r="B24" i="6"/>
  <c r="K23" i="6"/>
  <c r="N23" i="6"/>
  <c r="U21" i="6"/>
  <c r="T21" i="6"/>
  <c r="S22" i="6"/>
  <c r="W22" i="6"/>
  <c r="X22" i="6"/>
  <c r="B25" i="5"/>
  <c r="H25" i="5" s="1"/>
  <c r="A26" i="5"/>
  <c r="C25" i="5"/>
  <c r="T22" i="5"/>
  <c r="U22" i="5"/>
  <c r="J24" i="5"/>
  <c r="K24" i="5"/>
  <c r="N24" i="5"/>
  <c r="S23" i="5"/>
  <c r="X23" i="5"/>
  <c r="W23" i="5"/>
  <c r="T21" i="4"/>
  <c r="U21" i="4"/>
  <c r="X22" i="4"/>
  <c r="W22" i="4"/>
  <c r="S22" i="4"/>
  <c r="C24" i="4"/>
  <c r="B24" i="4"/>
  <c r="H24" i="4" s="1"/>
  <c r="A25" i="4"/>
  <c r="N23" i="4"/>
  <c r="K23" i="4"/>
  <c r="Y23" i="10"/>
  <c r="U23" i="10"/>
  <c r="T23" i="10"/>
  <c r="X24" i="10"/>
  <c r="W24" i="10"/>
  <c r="S24" i="10"/>
  <c r="C26" i="10"/>
  <c r="B26" i="10"/>
  <c r="H26" i="10" s="1"/>
  <c r="A27" i="10"/>
  <c r="K25" i="10"/>
  <c r="N25" i="10"/>
  <c r="AK24" i="14" l="1"/>
  <c r="AL24" i="14" s="1"/>
  <c r="AL23" i="9"/>
  <c r="AK23" i="7"/>
  <c r="AL23" i="7" s="1"/>
  <c r="AK25" i="10"/>
  <c r="AL25" i="10" s="1"/>
  <c r="AK23" i="6"/>
  <c r="AL23" i="6" s="1"/>
  <c r="I24" i="4"/>
  <c r="AJ24" i="4"/>
  <c r="AK24" i="4" s="1"/>
  <c r="AL24" i="4" s="1"/>
  <c r="I25" i="5"/>
  <c r="J25" i="5" s="1"/>
  <c r="AJ25" i="5"/>
  <c r="AK25" i="5" s="1"/>
  <c r="AL25" i="5" s="1"/>
  <c r="AL23" i="8"/>
  <c r="I25" i="16"/>
  <c r="J25" i="16" s="1"/>
  <c r="AJ25" i="16"/>
  <c r="AK25" i="16" s="1"/>
  <c r="AL25" i="16" s="1"/>
  <c r="I24" i="8"/>
  <c r="AJ24" i="8"/>
  <c r="AK24" i="8" s="1"/>
  <c r="I24" i="16"/>
  <c r="J24" i="16" s="1"/>
  <c r="AJ24" i="16"/>
  <c r="AK24" i="16" s="1"/>
  <c r="AL24" i="16" s="1"/>
  <c r="I26" i="10"/>
  <c r="AJ26" i="10"/>
  <c r="AK26" i="10" s="1"/>
  <c r="AL26" i="10" s="1"/>
  <c r="I25" i="15"/>
  <c r="J25" i="15" s="1"/>
  <c r="AJ25" i="15"/>
  <c r="AK25" i="15" s="1"/>
  <c r="AL25" i="15" s="1"/>
  <c r="I25" i="14"/>
  <c r="J25" i="14" s="1"/>
  <c r="AJ25" i="14"/>
  <c r="AK23" i="14"/>
  <c r="AL23" i="14" s="1"/>
  <c r="I23" i="12"/>
  <c r="J23" i="12" s="1"/>
  <c r="AJ23" i="12"/>
  <c r="I24" i="1"/>
  <c r="AJ24" i="1"/>
  <c r="AK24" i="1" s="1"/>
  <c r="AL24" i="1" s="1"/>
  <c r="I24" i="9"/>
  <c r="J24" i="9" s="1"/>
  <c r="AJ24" i="9"/>
  <c r="AK24" i="9" s="1"/>
  <c r="AL24" i="9" s="1"/>
  <c r="I25" i="7"/>
  <c r="J25" i="7" s="1"/>
  <c r="AJ24" i="7"/>
  <c r="AK24" i="7" s="1"/>
  <c r="AL24" i="7" s="1"/>
  <c r="N24" i="12"/>
  <c r="H24" i="12"/>
  <c r="K24" i="12"/>
  <c r="Y23" i="16"/>
  <c r="Y22" i="4"/>
  <c r="Y22" i="9"/>
  <c r="Y22" i="12"/>
  <c r="Y23" i="7"/>
  <c r="H24" i="6"/>
  <c r="Y22" i="8"/>
  <c r="Y22" i="6"/>
  <c r="Y24" i="10"/>
  <c r="K25" i="16"/>
  <c r="N25" i="16"/>
  <c r="C26" i="16"/>
  <c r="B26" i="16"/>
  <c r="H26" i="16" s="1"/>
  <c r="A27" i="16"/>
  <c r="U23" i="16"/>
  <c r="T23" i="16"/>
  <c r="S24" i="16"/>
  <c r="X24" i="16"/>
  <c r="W24" i="16"/>
  <c r="K25" i="15"/>
  <c r="N25" i="15"/>
  <c r="A27" i="15"/>
  <c r="C26" i="15"/>
  <c r="B26" i="15"/>
  <c r="H26" i="15" s="1"/>
  <c r="W24" i="15"/>
  <c r="X24" i="15"/>
  <c r="S24" i="15"/>
  <c r="T23" i="15"/>
  <c r="U23" i="15"/>
  <c r="Y23" i="15"/>
  <c r="A27" i="14"/>
  <c r="C26" i="14"/>
  <c r="B26" i="14"/>
  <c r="H26" i="14" s="1"/>
  <c r="Y23" i="14"/>
  <c r="K25" i="14"/>
  <c r="N25" i="14"/>
  <c r="U23" i="14"/>
  <c r="T23" i="14"/>
  <c r="W24" i="14"/>
  <c r="X24" i="14"/>
  <c r="S24" i="14"/>
  <c r="B25" i="12"/>
  <c r="A26" i="12"/>
  <c r="C25" i="12"/>
  <c r="U22" i="12"/>
  <c r="T22" i="12"/>
  <c r="X23" i="12"/>
  <c r="S23" i="12"/>
  <c r="W23" i="12"/>
  <c r="K24" i="9"/>
  <c r="N24" i="9"/>
  <c r="A26" i="9"/>
  <c r="B25" i="9"/>
  <c r="H25" i="9" s="1"/>
  <c r="C25" i="9"/>
  <c r="U22" i="9"/>
  <c r="T22" i="9"/>
  <c r="S23" i="9"/>
  <c r="X23" i="9"/>
  <c r="W23" i="9"/>
  <c r="U22" i="1"/>
  <c r="T22" i="1"/>
  <c r="W23" i="1"/>
  <c r="S23" i="1"/>
  <c r="X23" i="1"/>
  <c r="Y22" i="1"/>
  <c r="C25" i="1"/>
  <c r="B25" i="1"/>
  <c r="A26" i="1"/>
  <c r="K24" i="1"/>
  <c r="N24" i="1"/>
  <c r="A26" i="8"/>
  <c r="B25" i="8"/>
  <c r="H25" i="8" s="1"/>
  <c r="C25" i="8"/>
  <c r="K24" i="8"/>
  <c r="N24" i="8"/>
  <c r="T22" i="8"/>
  <c r="U22" i="8"/>
  <c r="S23" i="8"/>
  <c r="X23" i="8"/>
  <c r="W23" i="8"/>
  <c r="B26" i="7"/>
  <c r="H26" i="7" s="1"/>
  <c r="A27" i="7"/>
  <c r="C26" i="7"/>
  <c r="T23" i="7"/>
  <c r="U23" i="7"/>
  <c r="K25" i="7"/>
  <c r="N25" i="7"/>
  <c r="S24" i="7"/>
  <c r="X24" i="7"/>
  <c r="W24" i="7"/>
  <c r="C25" i="6"/>
  <c r="B25" i="6"/>
  <c r="A26" i="6"/>
  <c r="S23" i="6"/>
  <c r="W23" i="6"/>
  <c r="X23" i="6"/>
  <c r="N24" i="6"/>
  <c r="K24" i="6"/>
  <c r="T22" i="6"/>
  <c r="U22" i="6"/>
  <c r="U23" i="5"/>
  <c r="T23" i="5"/>
  <c r="Y23" i="5"/>
  <c r="S24" i="5"/>
  <c r="X24" i="5"/>
  <c r="W24" i="5"/>
  <c r="B26" i="5"/>
  <c r="A27" i="5"/>
  <c r="C26" i="5"/>
  <c r="K25" i="5"/>
  <c r="N25" i="5"/>
  <c r="C25" i="4"/>
  <c r="B25" i="4"/>
  <c r="H25" i="4" s="1"/>
  <c r="A26" i="4"/>
  <c r="N24" i="4"/>
  <c r="K24" i="4"/>
  <c r="W23" i="4"/>
  <c r="S23" i="4"/>
  <c r="X23" i="4"/>
  <c r="U22" i="4"/>
  <c r="T22" i="4"/>
  <c r="N26" i="10"/>
  <c r="K26" i="10"/>
  <c r="X25" i="10"/>
  <c r="W25" i="10"/>
  <c r="S25" i="10"/>
  <c r="U24" i="10"/>
  <c r="T24" i="10"/>
  <c r="C27" i="10"/>
  <c r="B27" i="10"/>
  <c r="H27" i="10" s="1"/>
  <c r="A28" i="10"/>
  <c r="AL24" i="8" l="1"/>
  <c r="AK25" i="14"/>
  <c r="AL25" i="14" s="1"/>
  <c r="I25" i="8"/>
  <c r="J25" i="8" s="1"/>
  <c r="AJ25" i="8"/>
  <c r="AK25" i="8" s="1"/>
  <c r="AL25" i="8" s="1"/>
  <c r="I24" i="6"/>
  <c r="J24" i="6" s="1"/>
  <c r="AJ24" i="6"/>
  <c r="AK24" i="6" s="1"/>
  <c r="AL24" i="6" s="1"/>
  <c r="I25" i="9"/>
  <c r="J25" i="9" s="1"/>
  <c r="AJ25" i="9"/>
  <c r="I25" i="4"/>
  <c r="J25" i="4" s="1"/>
  <c r="AJ25" i="4"/>
  <c r="AK25" i="4" s="1"/>
  <c r="AL25" i="4" s="1"/>
  <c r="I26" i="16"/>
  <c r="J26" i="16" s="1"/>
  <c r="AJ26" i="16"/>
  <c r="I27" i="10"/>
  <c r="AJ27" i="10"/>
  <c r="I26" i="15"/>
  <c r="J26" i="15" s="1"/>
  <c r="AJ26" i="15"/>
  <c r="AK26" i="15"/>
  <c r="AL26" i="15" s="1"/>
  <c r="I26" i="14"/>
  <c r="J26" i="14" s="1"/>
  <c r="AJ26" i="14"/>
  <c r="I24" i="12"/>
  <c r="J24" i="12" s="1"/>
  <c r="AJ24" i="12"/>
  <c r="AK24" i="12" s="1"/>
  <c r="AL24" i="12" s="1"/>
  <c r="AK23" i="12"/>
  <c r="AL23" i="12" s="1"/>
  <c r="I26" i="7"/>
  <c r="J26" i="7" s="1"/>
  <c r="AJ25" i="7"/>
  <c r="AK25" i="7" s="1"/>
  <c r="AL25" i="7" s="1"/>
  <c r="K25" i="12"/>
  <c r="N25" i="12"/>
  <c r="H25" i="12"/>
  <c r="H26" i="5"/>
  <c r="H25" i="1"/>
  <c r="H25" i="6"/>
  <c r="Y23" i="12"/>
  <c r="Y23" i="8"/>
  <c r="Y24" i="5"/>
  <c r="Y25" i="10"/>
  <c r="Y24" i="15"/>
  <c r="Y24" i="16"/>
  <c r="T24" i="16"/>
  <c r="U24" i="16"/>
  <c r="A28" i="16"/>
  <c r="C27" i="16"/>
  <c r="B27" i="16"/>
  <c r="H27" i="16" s="1"/>
  <c r="K26" i="16"/>
  <c r="N26" i="16"/>
  <c r="W25" i="16"/>
  <c r="X25" i="16"/>
  <c r="S25" i="16"/>
  <c r="U24" i="15"/>
  <c r="T24" i="15"/>
  <c r="K26" i="15"/>
  <c r="N26" i="15"/>
  <c r="A28" i="15"/>
  <c r="C27" i="15"/>
  <c r="B27" i="15"/>
  <c r="H27" i="15" s="1"/>
  <c r="S25" i="15"/>
  <c r="X25" i="15"/>
  <c r="W25" i="15"/>
  <c r="Y24" i="14"/>
  <c r="K26" i="14"/>
  <c r="N26" i="14"/>
  <c r="U24" i="14"/>
  <c r="T24" i="14"/>
  <c r="W25" i="14"/>
  <c r="S25" i="14"/>
  <c r="X25" i="14"/>
  <c r="A28" i="14"/>
  <c r="C27" i="14"/>
  <c r="B27" i="14"/>
  <c r="H27" i="14" s="1"/>
  <c r="W24" i="12"/>
  <c r="S24" i="12"/>
  <c r="X24" i="12"/>
  <c r="U23" i="12"/>
  <c r="T23" i="12"/>
  <c r="B26" i="12"/>
  <c r="A27" i="12"/>
  <c r="C26" i="12"/>
  <c r="U23" i="9"/>
  <c r="T23" i="9"/>
  <c r="C26" i="9"/>
  <c r="A27" i="9"/>
  <c r="B26" i="9"/>
  <c r="H26" i="9" s="1"/>
  <c r="Y23" i="9"/>
  <c r="N25" i="9"/>
  <c r="K25" i="9"/>
  <c r="X24" i="9"/>
  <c r="S24" i="9"/>
  <c r="W24" i="9"/>
  <c r="K25" i="1"/>
  <c r="N25" i="1"/>
  <c r="U23" i="1"/>
  <c r="T23" i="1"/>
  <c r="Y23" i="1"/>
  <c r="X24" i="1"/>
  <c r="S24" i="1"/>
  <c r="W24" i="1"/>
  <c r="J24" i="1"/>
  <c r="C26" i="1"/>
  <c r="B26" i="1"/>
  <c r="H26" i="1" s="1"/>
  <c r="A27" i="1"/>
  <c r="N25" i="8"/>
  <c r="K25" i="8"/>
  <c r="S24" i="8"/>
  <c r="X24" i="8"/>
  <c r="W24" i="8"/>
  <c r="J24" i="8"/>
  <c r="T23" i="8"/>
  <c r="U23" i="8"/>
  <c r="A27" i="8"/>
  <c r="C26" i="8"/>
  <c r="B26" i="8"/>
  <c r="U24" i="7"/>
  <c r="T24" i="7"/>
  <c r="Y24" i="7"/>
  <c r="S25" i="7"/>
  <c r="X25" i="7"/>
  <c r="W25" i="7"/>
  <c r="B27" i="7"/>
  <c r="H27" i="7" s="1"/>
  <c r="A28" i="7"/>
  <c r="C27" i="7"/>
  <c r="K26" i="7"/>
  <c r="N26" i="7"/>
  <c r="Y23" i="6"/>
  <c r="T23" i="6"/>
  <c r="U23" i="6"/>
  <c r="S24" i="6"/>
  <c r="W24" i="6"/>
  <c r="X24" i="6"/>
  <c r="B26" i="6"/>
  <c r="H26" i="6" s="1"/>
  <c r="C26" i="6"/>
  <c r="A27" i="6"/>
  <c r="K25" i="6"/>
  <c r="N25" i="6"/>
  <c r="B27" i="5"/>
  <c r="A28" i="5"/>
  <c r="C27" i="5"/>
  <c r="T24" i="5"/>
  <c r="U24" i="5"/>
  <c r="K26" i="5"/>
  <c r="N26" i="5"/>
  <c r="X25" i="5"/>
  <c r="W25" i="5"/>
  <c r="S25" i="5"/>
  <c r="W24" i="4"/>
  <c r="S24" i="4"/>
  <c r="X24" i="4"/>
  <c r="U23" i="4"/>
  <c r="T23" i="4"/>
  <c r="Y23" i="4"/>
  <c r="J24" i="4"/>
  <c r="A27" i="4"/>
  <c r="C26" i="4"/>
  <c r="B26" i="4"/>
  <c r="H26" i="4" s="1"/>
  <c r="N25" i="4"/>
  <c r="K25" i="4"/>
  <c r="W26" i="10"/>
  <c r="X26" i="10"/>
  <c r="S26" i="10"/>
  <c r="C28" i="10"/>
  <c r="B28" i="10"/>
  <c r="H28" i="10" s="1"/>
  <c r="A29" i="10"/>
  <c r="U25" i="10"/>
  <c r="T25" i="10"/>
  <c r="J26" i="10"/>
  <c r="N27" i="10"/>
  <c r="K27" i="10"/>
  <c r="AK26" i="16" l="1"/>
  <c r="AL26" i="16" s="1"/>
  <c r="AK25" i="9"/>
  <c r="AL25" i="9" s="1"/>
  <c r="I28" i="10"/>
  <c r="J28" i="10" s="1"/>
  <c r="AJ28" i="10"/>
  <c r="I27" i="16"/>
  <c r="J27" i="16" s="1"/>
  <c r="AJ27" i="16"/>
  <c r="I26" i="6"/>
  <c r="J26" i="6" s="1"/>
  <c r="AJ26" i="6"/>
  <c r="I26" i="1"/>
  <c r="J26" i="1" s="1"/>
  <c r="AJ26" i="1"/>
  <c r="AK26" i="1" s="1"/>
  <c r="I25" i="6"/>
  <c r="J25" i="6" s="1"/>
  <c r="AJ25" i="6"/>
  <c r="AK25" i="6" s="1"/>
  <c r="AL25" i="6" s="1"/>
  <c r="I25" i="1"/>
  <c r="J25" i="1" s="1"/>
  <c r="AJ25" i="1"/>
  <c r="AK25" i="1" s="1"/>
  <c r="AL25" i="1" s="1"/>
  <c r="AL27" i="10"/>
  <c r="I26" i="5"/>
  <c r="J26" i="5" s="1"/>
  <c r="AJ26" i="5"/>
  <c r="AK27" i="10"/>
  <c r="I26" i="4"/>
  <c r="AJ26" i="4"/>
  <c r="AK26" i="4" s="1"/>
  <c r="I27" i="15"/>
  <c r="J27" i="15" s="1"/>
  <c r="AK27" i="15"/>
  <c r="AL27" i="15" s="1"/>
  <c r="AJ27" i="15"/>
  <c r="I27" i="14"/>
  <c r="J27" i="14" s="1"/>
  <c r="AJ27" i="14"/>
  <c r="AK27" i="14" s="1"/>
  <c r="AK26" i="14"/>
  <c r="AL26" i="14" s="1"/>
  <c r="I25" i="12"/>
  <c r="J25" i="12" s="1"/>
  <c r="AJ25" i="12"/>
  <c r="AK25" i="12" s="1"/>
  <c r="AL25" i="12" s="1"/>
  <c r="I26" i="9"/>
  <c r="AJ26" i="9"/>
  <c r="AK26" i="9" s="1"/>
  <c r="AL26" i="9" s="1"/>
  <c r="I27" i="7"/>
  <c r="J27" i="7" s="1"/>
  <c r="AJ26" i="7"/>
  <c r="AK26" i="7" s="1"/>
  <c r="AL26" i="7" s="1"/>
  <c r="K26" i="12"/>
  <c r="N26" i="12"/>
  <c r="H26" i="12"/>
  <c r="H27" i="5"/>
  <c r="Y24" i="9"/>
  <c r="H26" i="8"/>
  <c r="Y25" i="7"/>
  <c r="Y25" i="5"/>
  <c r="Y24" i="8"/>
  <c r="Y25" i="15"/>
  <c r="Y25" i="16"/>
  <c r="U25" i="16"/>
  <c r="T25" i="16"/>
  <c r="B28" i="16"/>
  <c r="H28" i="16" s="1"/>
  <c r="A29" i="16"/>
  <c r="C28" i="16"/>
  <c r="S26" i="16"/>
  <c r="X26" i="16"/>
  <c r="W26" i="16"/>
  <c r="K27" i="16"/>
  <c r="N27" i="16"/>
  <c r="A29" i="15"/>
  <c r="C28" i="15"/>
  <c r="B28" i="15"/>
  <c r="H28" i="15" s="1"/>
  <c r="S26" i="15"/>
  <c r="W26" i="15"/>
  <c r="X26" i="15"/>
  <c r="U25" i="15"/>
  <c r="T25" i="15"/>
  <c r="K27" i="15"/>
  <c r="N27" i="15"/>
  <c r="X26" i="14"/>
  <c r="S26" i="14"/>
  <c r="W26" i="14"/>
  <c r="A29" i="14"/>
  <c r="C28" i="14"/>
  <c r="B28" i="14"/>
  <c r="H28" i="14" s="1"/>
  <c r="Y25" i="14"/>
  <c r="K27" i="14"/>
  <c r="N27" i="14"/>
  <c r="U25" i="14"/>
  <c r="T25" i="14"/>
  <c r="B27" i="12"/>
  <c r="A28" i="12"/>
  <c r="C27" i="12"/>
  <c r="U24" i="12"/>
  <c r="T24" i="12"/>
  <c r="W25" i="12"/>
  <c r="X25" i="12"/>
  <c r="S25" i="12"/>
  <c r="Y24" i="12"/>
  <c r="U24" i="9"/>
  <c r="T24" i="9"/>
  <c r="A28" i="9"/>
  <c r="C27" i="9"/>
  <c r="B27" i="9"/>
  <c r="H27" i="9" s="1"/>
  <c r="X25" i="9"/>
  <c r="W25" i="9"/>
  <c r="S25" i="9"/>
  <c r="N26" i="9"/>
  <c r="K26" i="9"/>
  <c r="C27" i="1"/>
  <c r="A28" i="1"/>
  <c r="B27" i="1"/>
  <c r="H27" i="1" s="1"/>
  <c r="Y24" i="1"/>
  <c r="K26" i="1"/>
  <c r="N26" i="1"/>
  <c r="T24" i="1"/>
  <c r="U24" i="1"/>
  <c r="W25" i="1"/>
  <c r="S25" i="1"/>
  <c r="X25" i="1"/>
  <c r="A28" i="8"/>
  <c r="B27" i="8"/>
  <c r="C27" i="8"/>
  <c r="K26" i="8"/>
  <c r="N26" i="8"/>
  <c r="U24" i="8"/>
  <c r="T24" i="8"/>
  <c r="S25" i="8"/>
  <c r="X25" i="8"/>
  <c r="W25" i="8"/>
  <c r="C28" i="7"/>
  <c r="B28" i="7"/>
  <c r="H28" i="7" s="1"/>
  <c r="A29" i="7"/>
  <c r="U25" i="7"/>
  <c r="T25" i="7"/>
  <c r="K27" i="7"/>
  <c r="N27" i="7"/>
  <c r="S26" i="7"/>
  <c r="X26" i="7"/>
  <c r="W26" i="7"/>
  <c r="T24" i="6"/>
  <c r="U24" i="6"/>
  <c r="K26" i="6"/>
  <c r="N26" i="6"/>
  <c r="X25" i="6"/>
  <c r="S25" i="6"/>
  <c r="W25" i="6"/>
  <c r="B27" i="6"/>
  <c r="H27" i="6" s="1"/>
  <c r="C27" i="6"/>
  <c r="A28" i="6"/>
  <c r="Y24" i="6"/>
  <c r="U25" i="5"/>
  <c r="T25" i="5"/>
  <c r="S26" i="5"/>
  <c r="W26" i="5"/>
  <c r="X26" i="5"/>
  <c r="B28" i="5"/>
  <c r="H28" i="5" s="1"/>
  <c r="A29" i="5"/>
  <c r="C28" i="5"/>
  <c r="K27" i="5"/>
  <c r="N27" i="5"/>
  <c r="A28" i="4"/>
  <c r="C27" i="4"/>
  <c r="B27" i="4"/>
  <c r="H27" i="4" s="1"/>
  <c r="S25" i="4"/>
  <c r="X25" i="4"/>
  <c r="W25" i="4"/>
  <c r="K26" i="4"/>
  <c r="N26" i="4"/>
  <c r="T24" i="4"/>
  <c r="U24" i="4"/>
  <c r="Y24" i="4"/>
  <c r="S27" i="10"/>
  <c r="W27" i="10"/>
  <c r="X27" i="10"/>
  <c r="J27" i="10"/>
  <c r="T26" i="10"/>
  <c r="U26" i="10"/>
  <c r="C29" i="10"/>
  <c r="B29" i="10"/>
  <c r="H29" i="10" s="1"/>
  <c r="A30" i="10"/>
  <c r="N28" i="10"/>
  <c r="K28" i="10"/>
  <c r="Y26" i="10"/>
  <c r="AL26" i="4" l="1"/>
  <c r="AK27" i="16"/>
  <c r="AL27" i="16" s="1"/>
  <c r="AL26" i="1"/>
  <c r="AK26" i="6"/>
  <c r="AL26" i="6" s="1"/>
  <c r="I28" i="5"/>
  <c r="J28" i="5" s="1"/>
  <c r="AJ28" i="5"/>
  <c r="I29" i="10"/>
  <c r="J29" i="10" s="1"/>
  <c r="AJ29" i="10"/>
  <c r="AK29" i="10" s="1"/>
  <c r="AL29" i="10" s="1"/>
  <c r="I28" i="16"/>
  <c r="J28" i="16" s="1"/>
  <c r="AJ28" i="16"/>
  <c r="AK28" i="16" s="1"/>
  <c r="AK26" i="5"/>
  <c r="AL26" i="5" s="1"/>
  <c r="I28" i="15"/>
  <c r="J28" i="15" s="1"/>
  <c r="AJ28" i="15"/>
  <c r="AJ27" i="4"/>
  <c r="AK27" i="4" s="1"/>
  <c r="AL27" i="4" s="1"/>
  <c r="I27" i="6"/>
  <c r="J27" i="6" s="1"/>
  <c r="AJ27" i="6"/>
  <c r="AK27" i="6" s="1"/>
  <c r="AL27" i="6" s="1"/>
  <c r="I26" i="8"/>
  <c r="J26" i="8" s="1"/>
  <c r="AJ26" i="8"/>
  <c r="AK26" i="8" s="1"/>
  <c r="AL26" i="8" s="1"/>
  <c r="AK28" i="10"/>
  <c r="AL28" i="10" s="1"/>
  <c r="I27" i="5"/>
  <c r="J27" i="5" s="1"/>
  <c r="AJ27" i="5"/>
  <c r="AK27" i="5" s="1"/>
  <c r="AL27" i="5" s="1"/>
  <c r="I28" i="14"/>
  <c r="J28" i="14" s="1"/>
  <c r="AJ28" i="14"/>
  <c r="AK28" i="14" s="1"/>
  <c r="AL28" i="14" s="1"/>
  <c r="AL27" i="14"/>
  <c r="I26" i="12"/>
  <c r="J26" i="12" s="1"/>
  <c r="AJ26" i="12"/>
  <c r="I27" i="1"/>
  <c r="AJ27" i="1"/>
  <c r="I27" i="9"/>
  <c r="AJ27" i="9"/>
  <c r="AK27" i="9" s="1"/>
  <c r="AL27" i="9" s="1"/>
  <c r="I28" i="7"/>
  <c r="J28" i="7" s="1"/>
  <c r="AJ27" i="7"/>
  <c r="AK27" i="7" s="1"/>
  <c r="N27" i="12"/>
  <c r="K27" i="12"/>
  <c r="H27" i="12"/>
  <c r="Y25" i="4"/>
  <c r="Y26" i="14"/>
  <c r="H27" i="8"/>
  <c r="I27" i="4"/>
  <c r="Y26" i="5"/>
  <c r="Y26" i="7"/>
  <c r="S27" i="16"/>
  <c r="W27" i="16"/>
  <c r="X27" i="16"/>
  <c r="Y26" i="16"/>
  <c r="B29" i="16"/>
  <c r="H29" i="16" s="1"/>
  <c r="A30" i="16"/>
  <c r="C29" i="16"/>
  <c r="K28" i="16"/>
  <c r="N28" i="16"/>
  <c r="U26" i="16"/>
  <c r="T26" i="16"/>
  <c r="S27" i="15"/>
  <c r="W27" i="15"/>
  <c r="X27" i="15"/>
  <c r="T26" i="15"/>
  <c r="U26" i="15"/>
  <c r="N28" i="15"/>
  <c r="K28" i="15"/>
  <c r="Y26" i="15"/>
  <c r="A30" i="15"/>
  <c r="C29" i="15"/>
  <c r="B29" i="15"/>
  <c r="H29" i="15" s="1"/>
  <c r="X27" i="14"/>
  <c r="S27" i="14"/>
  <c r="W27" i="14"/>
  <c r="A30" i="14"/>
  <c r="C29" i="14"/>
  <c r="B29" i="14"/>
  <c r="H29" i="14" s="1"/>
  <c r="K28" i="14"/>
  <c r="N28" i="14"/>
  <c r="T26" i="14"/>
  <c r="U26" i="14"/>
  <c r="T25" i="12"/>
  <c r="U25" i="12"/>
  <c r="S26" i="12"/>
  <c r="X26" i="12"/>
  <c r="W26" i="12"/>
  <c r="Y25" i="12"/>
  <c r="B28" i="12"/>
  <c r="A29" i="12"/>
  <c r="C28" i="12"/>
  <c r="S26" i="9"/>
  <c r="W26" i="9"/>
  <c r="X26" i="9"/>
  <c r="U25" i="9"/>
  <c r="T25" i="9"/>
  <c r="Y25" i="9"/>
  <c r="B28" i="9"/>
  <c r="A29" i="9"/>
  <c r="C28" i="9"/>
  <c r="J26" i="9"/>
  <c r="K27" i="9"/>
  <c r="N27" i="9"/>
  <c r="Y25" i="1"/>
  <c r="W26" i="1"/>
  <c r="S26" i="1"/>
  <c r="X26" i="1"/>
  <c r="U25" i="1"/>
  <c r="T25" i="1"/>
  <c r="K27" i="1"/>
  <c r="N27" i="1"/>
  <c r="A29" i="1"/>
  <c r="B28" i="1"/>
  <c r="H28" i="1" s="1"/>
  <c r="C28" i="1"/>
  <c r="Y25" i="8"/>
  <c r="X26" i="8"/>
  <c r="S26" i="8"/>
  <c r="W26" i="8"/>
  <c r="N27" i="8"/>
  <c r="K27" i="8"/>
  <c r="T25" i="8"/>
  <c r="U25" i="8"/>
  <c r="B28" i="8"/>
  <c r="H28" i="8" s="1"/>
  <c r="C28" i="8"/>
  <c r="A29" i="8"/>
  <c r="T26" i="7"/>
  <c r="U26" i="7"/>
  <c r="W27" i="7"/>
  <c r="X27" i="7"/>
  <c r="S27" i="7"/>
  <c r="C29" i="7"/>
  <c r="A30" i="7"/>
  <c r="B29" i="7"/>
  <c r="K28" i="7"/>
  <c r="N28" i="7"/>
  <c r="A29" i="6"/>
  <c r="B28" i="6"/>
  <c r="H28" i="6" s="1"/>
  <c r="C28" i="6"/>
  <c r="T25" i="6"/>
  <c r="U25" i="6"/>
  <c r="X26" i="6"/>
  <c r="W26" i="6"/>
  <c r="S26" i="6"/>
  <c r="K27" i="6"/>
  <c r="N27" i="6"/>
  <c r="Y25" i="6"/>
  <c r="B29" i="5"/>
  <c r="H29" i="5" s="1"/>
  <c r="A30" i="5"/>
  <c r="C29" i="5"/>
  <c r="U26" i="5"/>
  <c r="T26" i="5"/>
  <c r="K28" i="5"/>
  <c r="N28" i="5"/>
  <c r="W27" i="5"/>
  <c r="S27" i="5"/>
  <c r="X27" i="5"/>
  <c r="X26" i="4"/>
  <c r="W26" i="4"/>
  <c r="S26" i="4"/>
  <c r="T25" i="4"/>
  <c r="U25" i="4"/>
  <c r="K27" i="4"/>
  <c r="N27" i="4"/>
  <c r="J26" i="4"/>
  <c r="A29" i="4"/>
  <c r="C28" i="4"/>
  <c r="B28" i="4"/>
  <c r="N29" i="10"/>
  <c r="K29" i="10"/>
  <c r="Y27" i="10"/>
  <c r="X28" i="10"/>
  <c r="W28" i="10"/>
  <c r="S28" i="10"/>
  <c r="C30" i="10"/>
  <c r="B30" i="10"/>
  <c r="H30" i="10" s="1"/>
  <c r="A31" i="10"/>
  <c r="U27" i="10"/>
  <c r="T27" i="10"/>
  <c r="AL28" i="16" l="1"/>
  <c r="AK28" i="15"/>
  <c r="AL28" i="15" s="1"/>
  <c r="AK26" i="12"/>
  <c r="AL26" i="12" s="1"/>
  <c r="AK28" i="5"/>
  <c r="AL28" i="5" s="1"/>
  <c r="I28" i="6"/>
  <c r="AJ28" i="6"/>
  <c r="AK28" i="6" s="1"/>
  <c r="I28" i="8"/>
  <c r="J28" i="8" s="1"/>
  <c r="AJ28" i="8"/>
  <c r="AK28" i="8" s="1"/>
  <c r="AL28" i="8" s="1"/>
  <c r="I29" i="15"/>
  <c r="J29" i="15" s="1"/>
  <c r="AJ29" i="15"/>
  <c r="AK29" i="15" s="1"/>
  <c r="I29" i="16"/>
  <c r="J29" i="16" s="1"/>
  <c r="AJ29" i="16"/>
  <c r="AK29" i="16" s="1"/>
  <c r="AL29" i="16" s="1"/>
  <c r="I29" i="5"/>
  <c r="J29" i="5" s="1"/>
  <c r="AJ29" i="5"/>
  <c r="AK29" i="5" s="1"/>
  <c r="AL29" i="5" s="1"/>
  <c r="I27" i="8"/>
  <c r="J27" i="8" s="1"/>
  <c r="AJ27" i="8"/>
  <c r="I30" i="10"/>
  <c r="AJ30" i="10"/>
  <c r="AK30" i="10" s="1"/>
  <c r="AL30" i="10" s="1"/>
  <c r="I29" i="14"/>
  <c r="J29" i="14" s="1"/>
  <c r="AJ29" i="14"/>
  <c r="AK29" i="14" s="1"/>
  <c r="AL29" i="14" s="1"/>
  <c r="I27" i="12"/>
  <c r="J27" i="12" s="1"/>
  <c r="AJ27" i="12"/>
  <c r="I28" i="1"/>
  <c r="J28" i="1" s="1"/>
  <c r="AJ28" i="1"/>
  <c r="AK28" i="1" s="1"/>
  <c r="AK27" i="1"/>
  <c r="AL27" i="1" s="1"/>
  <c r="AL27" i="7"/>
  <c r="N28" i="12"/>
  <c r="K28" i="12"/>
  <c r="H28" i="12"/>
  <c r="Y26" i="12"/>
  <c r="H28" i="9"/>
  <c r="H29" i="7"/>
  <c r="H28" i="4"/>
  <c r="Y26" i="6"/>
  <c r="Y27" i="14"/>
  <c r="Y28" i="10"/>
  <c r="Y26" i="4"/>
  <c r="Y27" i="16"/>
  <c r="Y26" i="8"/>
  <c r="B30" i="16"/>
  <c r="H30" i="16" s="1"/>
  <c r="A31" i="16"/>
  <c r="C30" i="16"/>
  <c r="W28" i="16"/>
  <c r="X28" i="16"/>
  <c r="S28" i="16"/>
  <c r="K29" i="16"/>
  <c r="N29" i="16"/>
  <c r="T27" i="16"/>
  <c r="U27" i="16"/>
  <c r="N29" i="15"/>
  <c r="K29" i="15"/>
  <c r="A31" i="15"/>
  <c r="C30" i="15"/>
  <c r="B30" i="15"/>
  <c r="H30" i="15" s="1"/>
  <c r="X28" i="15"/>
  <c r="W28" i="15"/>
  <c r="S28" i="15"/>
  <c r="Y27" i="15"/>
  <c r="U27" i="15"/>
  <c r="T27" i="15"/>
  <c r="W28" i="14"/>
  <c r="S28" i="14"/>
  <c r="X28" i="14"/>
  <c r="A31" i="14"/>
  <c r="C30" i="14"/>
  <c r="B30" i="14"/>
  <c r="H30" i="14" s="1"/>
  <c r="K29" i="14"/>
  <c r="N29" i="14"/>
  <c r="U27" i="14"/>
  <c r="T27" i="14"/>
  <c r="B29" i="12"/>
  <c r="A30" i="12"/>
  <c r="C29" i="12"/>
  <c r="T26" i="12"/>
  <c r="U26" i="12"/>
  <c r="S27" i="12"/>
  <c r="X27" i="12"/>
  <c r="W27" i="12"/>
  <c r="C29" i="9"/>
  <c r="B29" i="9"/>
  <c r="A30" i="9"/>
  <c r="K28" i="9"/>
  <c r="N28" i="9"/>
  <c r="Y26" i="9"/>
  <c r="S27" i="9"/>
  <c r="W27" i="9"/>
  <c r="X27" i="9"/>
  <c r="J27" i="9"/>
  <c r="T26" i="9"/>
  <c r="U26" i="9"/>
  <c r="K28" i="1"/>
  <c r="N28" i="1"/>
  <c r="Y26" i="1"/>
  <c r="S27" i="1"/>
  <c r="W27" i="1"/>
  <c r="X27" i="1"/>
  <c r="U26" i="1"/>
  <c r="T26" i="1"/>
  <c r="A30" i="1"/>
  <c r="C29" i="1"/>
  <c r="B29" i="1"/>
  <c r="H29" i="1" s="1"/>
  <c r="J27" i="1"/>
  <c r="N28" i="8"/>
  <c r="K28" i="8"/>
  <c r="U26" i="8"/>
  <c r="T26" i="8"/>
  <c r="A30" i="8"/>
  <c r="C29" i="8"/>
  <c r="B29" i="8"/>
  <c r="H29" i="8" s="1"/>
  <c r="S27" i="8"/>
  <c r="X27" i="8"/>
  <c r="W27" i="8"/>
  <c r="K29" i="7"/>
  <c r="N29" i="7"/>
  <c r="B30" i="7"/>
  <c r="A31" i="7"/>
  <c r="C30" i="7"/>
  <c r="Y27" i="7"/>
  <c r="W28" i="7"/>
  <c r="S28" i="7"/>
  <c r="X28" i="7"/>
  <c r="U27" i="7"/>
  <c r="T27" i="7"/>
  <c r="T26" i="6"/>
  <c r="U26" i="6"/>
  <c r="K28" i="6"/>
  <c r="N28" i="6"/>
  <c r="X27" i="6"/>
  <c r="W27" i="6"/>
  <c r="S27" i="6"/>
  <c r="A30" i="6"/>
  <c r="C29" i="6"/>
  <c r="B29" i="6"/>
  <c r="H29" i="6" s="1"/>
  <c r="T27" i="5"/>
  <c r="U27" i="5"/>
  <c r="Y27" i="5"/>
  <c r="S28" i="5"/>
  <c r="X28" i="5"/>
  <c r="W28" i="5"/>
  <c r="B30" i="5"/>
  <c r="H30" i="5" s="1"/>
  <c r="A31" i="5"/>
  <c r="C30" i="5"/>
  <c r="K29" i="5"/>
  <c r="N29" i="5"/>
  <c r="C29" i="4"/>
  <c r="A30" i="4"/>
  <c r="B29" i="4"/>
  <c r="H29" i="4" s="1"/>
  <c r="U26" i="4"/>
  <c r="T26" i="4"/>
  <c r="X27" i="4"/>
  <c r="W27" i="4"/>
  <c r="S27" i="4"/>
  <c r="N28" i="4"/>
  <c r="K28" i="4"/>
  <c r="J27" i="4"/>
  <c r="C31" i="10"/>
  <c r="B31" i="10"/>
  <c r="H31" i="10" s="1"/>
  <c r="A32" i="10"/>
  <c r="U28" i="10"/>
  <c r="T28" i="10"/>
  <c r="X29" i="10"/>
  <c r="W29" i="10"/>
  <c r="S29" i="10"/>
  <c r="N30" i="10"/>
  <c r="K30" i="10"/>
  <c r="AL29" i="15" l="1"/>
  <c r="AK27" i="12"/>
  <c r="AL27" i="12" s="1"/>
  <c r="AK27" i="8"/>
  <c r="AL27" i="8" s="1"/>
  <c r="I29" i="6"/>
  <c r="J29" i="6" s="1"/>
  <c r="AJ29" i="6"/>
  <c r="AK29" i="6" s="1"/>
  <c r="AL29" i="6" s="1"/>
  <c r="I29" i="4"/>
  <c r="J29" i="4" s="1"/>
  <c r="AJ29" i="4"/>
  <c r="AK29" i="4" s="1"/>
  <c r="AL29" i="4" s="1"/>
  <c r="I31" i="10"/>
  <c r="J31" i="10" s="1"/>
  <c r="AJ31" i="10"/>
  <c r="I29" i="8"/>
  <c r="AJ29" i="8"/>
  <c r="I28" i="4"/>
  <c r="J28" i="4" s="1"/>
  <c r="AJ28" i="4"/>
  <c r="AK28" i="4" s="1"/>
  <c r="AL28" i="4" s="1"/>
  <c r="I30" i="5"/>
  <c r="AJ30" i="5"/>
  <c r="AK30" i="5" s="1"/>
  <c r="AL30" i="5" s="1"/>
  <c r="AL28" i="6"/>
  <c r="I30" i="16"/>
  <c r="J30" i="16" s="1"/>
  <c r="AJ30" i="16"/>
  <c r="AK30" i="16" s="1"/>
  <c r="AL30" i="16" s="1"/>
  <c r="I30" i="15"/>
  <c r="J30" i="15" s="1"/>
  <c r="AJ30" i="15"/>
  <c r="I30" i="14"/>
  <c r="J30" i="14" s="1"/>
  <c r="AJ30" i="14"/>
  <c r="AK30" i="14" s="1"/>
  <c r="AL30" i="14" s="1"/>
  <c r="I28" i="12"/>
  <c r="J28" i="12" s="1"/>
  <c r="AJ28" i="12"/>
  <c r="AK28" i="12" s="1"/>
  <c r="AL28" i="12" s="1"/>
  <c r="AL28" i="1"/>
  <c r="I28" i="9"/>
  <c r="J28" i="9" s="1"/>
  <c r="AJ28" i="9"/>
  <c r="I29" i="7"/>
  <c r="J29" i="7" s="1"/>
  <c r="AJ28" i="7"/>
  <c r="AK28" i="7" s="1"/>
  <c r="AL28" i="7" s="1"/>
  <c r="I29" i="1"/>
  <c r="AJ29" i="1"/>
  <c r="AK29" i="1" s="1"/>
  <c r="AL29" i="1" s="1"/>
  <c r="H29" i="12"/>
  <c r="K29" i="12"/>
  <c r="N29" i="12"/>
  <c r="H29" i="9"/>
  <c r="H30" i="7"/>
  <c r="Y28" i="5"/>
  <c r="Y28" i="15"/>
  <c r="Y27" i="1"/>
  <c r="Y27" i="9"/>
  <c r="Y28" i="7"/>
  <c r="Y27" i="8"/>
  <c r="Y27" i="4"/>
  <c r="T28" i="16"/>
  <c r="U28" i="16"/>
  <c r="A32" i="16"/>
  <c r="B31" i="16"/>
  <c r="H31" i="16" s="1"/>
  <c r="C31" i="16"/>
  <c r="S29" i="16"/>
  <c r="W29" i="16"/>
  <c r="X29" i="16"/>
  <c r="Y28" i="16"/>
  <c r="K30" i="16"/>
  <c r="N30" i="16"/>
  <c r="U28" i="15"/>
  <c r="T28" i="15"/>
  <c r="K30" i="15"/>
  <c r="N30" i="15"/>
  <c r="A32" i="15"/>
  <c r="C31" i="15"/>
  <c r="B31" i="15"/>
  <c r="H31" i="15" s="1"/>
  <c r="X29" i="15"/>
  <c r="W29" i="15"/>
  <c r="S29" i="15"/>
  <c r="A32" i="14"/>
  <c r="C31" i="14"/>
  <c r="B31" i="14"/>
  <c r="H31" i="14" s="1"/>
  <c r="W29" i="14"/>
  <c r="S29" i="14"/>
  <c r="X29" i="14"/>
  <c r="K30" i="14"/>
  <c r="N30" i="14"/>
  <c r="T28" i="14"/>
  <c r="U28" i="14"/>
  <c r="Y28" i="14"/>
  <c r="Y27" i="12"/>
  <c r="W28" i="12"/>
  <c r="S28" i="12"/>
  <c r="X28" i="12"/>
  <c r="T27" i="12"/>
  <c r="U27" i="12"/>
  <c r="B30" i="12"/>
  <c r="H30" i="12" s="1"/>
  <c r="A31" i="12"/>
  <c r="C30" i="12"/>
  <c r="S28" i="9"/>
  <c r="X28" i="9"/>
  <c r="W28" i="9"/>
  <c r="T27" i="9"/>
  <c r="U27" i="9"/>
  <c r="C30" i="9"/>
  <c r="A31" i="9"/>
  <c r="B30" i="9"/>
  <c r="H30" i="9" s="1"/>
  <c r="K29" i="9"/>
  <c r="N29" i="9"/>
  <c r="A31" i="1"/>
  <c r="C30" i="1"/>
  <c r="B30" i="1"/>
  <c r="H30" i="1" s="1"/>
  <c r="T27" i="1"/>
  <c r="U27" i="1"/>
  <c r="K29" i="1"/>
  <c r="N29" i="1"/>
  <c r="S28" i="1"/>
  <c r="X28" i="1"/>
  <c r="W28" i="1"/>
  <c r="A31" i="8"/>
  <c r="C30" i="8"/>
  <c r="B30" i="8"/>
  <c r="H30" i="8" s="1"/>
  <c r="T27" i="8"/>
  <c r="U27" i="8"/>
  <c r="N29" i="8"/>
  <c r="K29" i="8"/>
  <c r="X28" i="8"/>
  <c r="S28" i="8"/>
  <c r="W28" i="8"/>
  <c r="T28" i="7"/>
  <c r="U28" i="7"/>
  <c r="B31" i="7"/>
  <c r="H31" i="7" s="1"/>
  <c r="A32" i="7"/>
  <c r="C31" i="7"/>
  <c r="K30" i="7"/>
  <c r="N30" i="7"/>
  <c r="S29" i="7"/>
  <c r="W29" i="7"/>
  <c r="X29" i="7"/>
  <c r="K29" i="6"/>
  <c r="N29" i="6"/>
  <c r="Y27" i="6"/>
  <c r="S28" i="6"/>
  <c r="X28" i="6"/>
  <c r="W28" i="6"/>
  <c r="A31" i="6"/>
  <c r="C30" i="6"/>
  <c r="B30" i="6"/>
  <c r="H30" i="6" s="1"/>
  <c r="J28" i="6"/>
  <c r="T27" i="6"/>
  <c r="U27" i="6"/>
  <c r="C31" i="5"/>
  <c r="B31" i="5"/>
  <c r="H31" i="5" s="1"/>
  <c r="A32" i="5"/>
  <c r="U28" i="5"/>
  <c r="T28" i="5"/>
  <c r="K30" i="5"/>
  <c r="N30" i="5"/>
  <c r="S29" i="5"/>
  <c r="X29" i="5"/>
  <c r="W29" i="5"/>
  <c r="X28" i="4"/>
  <c r="W28" i="4"/>
  <c r="S28" i="4"/>
  <c r="T27" i="4"/>
  <c r="U27" i="4"/>
  <c r="N29" i="4"/>
  <c r="K29" i="4"/>
  <c r="A31" i="4"/>
  <c r="C30" i="4"/>
  <c r="B30" i="4"/>
  <c r="H30" i="4" s="1"/>
  <c r="W30" i="10"/>
  <c r="S30" i="10"/>
  <c r="X30" i="10"/>
  <c r="U29" i="10"/>
  <c r="T29" i="10"/>
  <c r="J30" i="10"/>
  <c r="Y29" i="10"/>
  <c r="C32" i="10"/>
  <c r="B32" i="10"/>
  <c r="H32" i="10" s="1"/>
  <c r="A33" i="10"/>
  <c r="K31" i="10"/>
  <c r="N31" i="10"/>
  <c r="AK31" i="10" l="1"/>
  <c r="AL31" i="10" s="1"/>
  <c r="AK29" i="8"/>
  <c r="AL29" i="8" s="1"/>
  <c r="I30" i="6"/>
  <c r="J30" i="6" s="1"/>
  <c r="AJ30" i="6"/>
  <c r="AK30" i="6" s="1"/>
  <c r="AL30" i="6" s="1"/>
  <c r="I29" i="9"/>
  <c r="J29" i="9" s="1"/>
  <c r="AJ29" i="9"/>
  <c r="I31" i="16"/>
  <c r="J31" i="16" s="1"/>
  <c r="AJ31" i="16"/>
  <c r="I30" i="4"/>
  <c r="J30" i="4" s="1"/>
  <c r="AJ30" i="4"/>
  <c r="AK30" i="4" s="1"/>
  <c r="AL30" i="4" s="1"/>
  <c r="I32" i="10"/>
  <c r="J32" i="10" s="1"/>
  <c r="AJ32" i="10"/>
  <c r="I30" i="9"/>
  <c r="J30" i="9" s="1"/>
  <c r="AJ30" i="9"/>
  <c r="AK30" i="9" s="1"/>
  <c r="AL30" i="9" s="1"/>
  <c r="I31" i="5"/>
  <c r="AJ31" i="5"/>
  <c r="AK31" i="5" s="1"/>
  <c r="AL31" i="5" s="1"/>
  <c r="I30" i="8"/>
  <c r="J30" i="8" s="1"/>
  <c r="AJ30" i="8"/>
  <c r="I31" i="15"/>
  <c r="J31" i="15" s="1"/>
  <c r="AJ31" i="15"/>
  <c r="AK30" i="15"/>
  <c r="AL30" i="15" s="1"/>
  <c r="I31" i="14"/>
  <c r="J31" i="14" s="1"/>
  <c r="AJ31" i="14"/>
  <c r="AK31" i="14" s="1"/>
  <c r="I29" i="12"/>
  <c r="J29" i="12" s="1"/>
  <c r="AJ29" i="12"/>
  <c r="AK29" i="12" s="1"/>
  <c r="AL29" i="12" s="1"/>
  <c r="I30" i="12"/>
  <c r="AJ30" i="12"/>
  <c r="AK28" i="9"/>
  <c r="AL28" i="9" s="1"/>
  <c r="I31" i="7"/>
  <c r="J31" i="7" s="1"/>
  <c r="AJ30" i="7"/>
  <c r="AK30" i="7" s="1"/>
  <c r="AL30" i="7" s="1"/>
  <c r="I30" i="7"/>
  <c r="J30" i="7" s="1"/>
  <c r="AJ29" i="7"/>
  <c r="I30" i="1"/>
  <c r="J30" i="1" s="1"/>
  <c r="AJ30" i="1"/>
  <c r="AK30" i="1" s="1"/>
  <c r="AL30" i="1" s="1"/>
  <c r="Y28" i="4"/>
  <c r="Y28" i="1"/>
  <c r="Y28" i="6"/>
  <c r="Y29" i="7"/>
  <c r="Y28" i="12"/>
  <c r="Y29" i="15"/>
  <c r="Y28" i="8"/>
  <c r="K31" i="16"/>
  <c r="N31" i="16"/>
  <c r="S30" i="16"/>
  <c r="X30" i="16"/>
  <c r="W30" i="16"/>
  <c r="Y29" i="16"/>
  <c r="C32" i="16"/>
  <c r="A33" i="16"/>
  <c r="B32" i="16"/>
  <c r="H32" i="16" s="1"/>
  <c r="U29" i="16"/>
  <c r="T29" i="16"/>
  <c r="C32" i="15"/>
  <c r="A33" i="15"/>
  <c r="B32" i="15"/>
  <c r="H32" i="15" s="1"/>
  <c r="W30" i="15"/>
  <c r="X30" i="15"/>
  <c r="S30" i="15"/>
  <c r="U29" i="15"/>
  <c r="T29" i="15"/>
  <c r="K31" i="15"/>
  <c r="N31" i="15"/>
  <c r="Y29" i="14"/>
  <c r="K31" i="14"/>
  <c r="N31" i="14"/>
  <c r="W30" i="14"/>
  <c r="S30" i="14"/>
  <c r="X30" i="14"/>
  <c r="U29" i="14"/>
  <c r="T29" i="14"/>
  <c r="C32" i="14"/>
  <c r="B32" i="14"/>
  <c r="H32" i="14" s="1"/>
  <c r="A33" i="14"/>
  <c r="A32" i="12"/>
  <c r="B31" i="12"/>
  <c r="H31" i="12" s="1"/>
  <c r="C31" i="12"/>
  <c r="K30" i="12"/>
  <c r="N30" i="12"/>
  <c r="U28" i="12"/>
  <c r="T28" i="12"/>
  <c r="X29" i="12"/>
  <c r="S29" i="12"/>
  <c r="W29" i="12"/>
  <c r="X29" i="9"/>
  <c r="W29" i="9"/>
  <c r="S29" i="9"/>
  <c r="C31" i="9"/>
  <c r="B31" i="9"/>
  <c r="H31" i="9" s="1"/>
  <c r="A32" i="9"/>
  <c r="Y28" i="9"/>
  <c r="K30" i="9"/>
  <c r="N30" i="9"/>
  <c r="T28" i="9"/>
  <c r="U28" i="9"/>
  <c r="K30" i="1"/>
  <c r="N30" i="1"/>
  <c r="T28" i="1"/>
  <c r="U28" i="1"/>
  <c r="X29" i="1"/>
  <c r="W29" i="1"/>
  <c r="S29" i="1"/>
  <c r="J29" i="1"/>
  <c r="A32" i="1"/>
  <c r="C31" i="1"/>
  <c r="B31" i="1"/>
  <c r="N30" i="8"/>
  <c r="K30" i="8"/>
  <c r="X29" i="8"/>
  <c r="W29" i="8"/>
  <c r="S29" i="8"/>
  <c r="T28" i="8"/>
  <c r="U28" i="8"/>
  <c r="J29" i="8"/>
  <c r="A32" i="8"/>
  <c r="C31" i="8"/>
  <c r="B31" i="8"/>
  <c r="H31" i="8" s="1"/>
  <c r="B32" i="7"/>
  <c r="H32" i="7" s="1"/>
  <c r="A33" i="7"/>
  <c r="C32" i="7"/>
  <c r="K31" i="7"/>
  <c r="N31" i="7"/>
  <c r="T29" i="7"/>
  <c r="U29" i="7"/>
  <c r="S30" i="7"/>
  <c r="X30" i="7"/>
  <c r="W30" i="7"/>
  <c r="N30" i="6"/>
  <c r="K30" i="6"/>
  <c r="T28" i="6"/>
  <c r="U28" i="6"/>
  <c r="C31" i="6"/>
  <c r="A32" i="6"/>
  <c r="B31" i="6"/>
  <c r="S29" i="6"/>
  <c r="X29" i="6"/>
  <c r="W29" i="6"/>
  <c r="S30" i="5"/>
  <c r="X30" i="5"/>
  <c r="W30" i="5"/>
  <c r="Y29" i="5"/>
  <c r="U29" i="5"/>
  <c r="T29" i="5"/>
  <c r="J30" i="5"/>
  <c r="C32" i="5"/>
  <c r="B32" i="5"/>
  <c r="H32" i="5" s="1"/>
  <c r="A33" i="5"/>
  <c r="N31" i="5"/>
  <c r="K31" i="5"/>
  <c r="K30" i="4"/>
  <c r="N30" i="4"/>
  <c r="U28" i="4"/>
  <c r="T28" i="4"/>
  <c r="X29" i="4"/>
  <c r="W29" i="4"/>
  <c r="S29" i="4"/>
  <c r="B31" i="4"/>
  <c r="H31" i="4" s="1"/>
  <c r="A32" i="4"/>
  <c r="C31" i="4"/>
  <c r="X31" i="10"/>
  <c r="W31" i="10"/>
  <c r="S31" i="10"/>
  <c r="C33" i="10"/>
  <c r="B33" i="10"/>
  <c r="H33" i="10" s="1"/>
  <c r="A34" i="10"/>
  <c r="U30" i="10"/>
  <c r="T30" i="10"/>
  <c r="K32" i="10"/>
  <c r="N32" i="10"/>
  <c r="Y30" i="10"/>
  <c r="AK30" i="8" l="1"/>
  <c r="AL30" i="8" s="1"/>
  <c r="AL31" i="14"/>
  <c r="AK29" i="9"/>
  <c r="AL29" i="9" s="1"/>
  <c r="AK29" i="7"/>
  <c r="AL29" i="7" s="1"/>
  <c r="AK32" i="10"/>
  <c r="AL32" i="10" s="1"/>
  <c r="I33" i="10"/>
  <c r="AJ33" i="10"/>
  <c r="AK33" i="10" s="1"/>
  <c r="AL33" i="10" s="1"/>
  <c r="AK31" i="16"/>
  <c r="AL31" i="16" s="1"/>
  <c r="I31" i="8"/>
  <c r="AJ31" i="8"/>
  <c r="AK31" i="8" s="1"/>
  <c r="AL31" i="8" s="1"/>
  <c r="I32" i="5"/>
  <c r="AJ32" i="5"/>
  <c r="AK32" i="5" s="1"/>
  <c r="AL32" i="5" s="1"/>
  <c r="I32" i="16"/>
  <c r="J32" i="16" s="1"/>
  <c r="AJ32" i="16"/>
  <c r="AK32" i="16" s="1"/>
  <c r="AL32" i="16" s="1"/>
  <c r="I31" i="4"/>
  <c r="J31" i="4" s="1"/>
  <c r="AJ31" i="4"/>
  <c r="AK31" i="4" s="1"/>
  <c r="I32" i="15"/>
  <c r="J32" i="15" s="1"/>
  <c r="AJ32" i="15"/>
  <c r="AK32" i="15" s="1"/>
  <c r="AL32" i="15" s="1"/>
  <c r="AK31" i="15"/>
  <c r="AL31" i="15" s="1"/>
  <c r="I32" i="14"/>
  <c r="J32" i="14" s="1"/>
  <c r="AJ32" i="14"/>
  <c r="AK30" i="12"/>
  <c r="AL30" i="12" s="1"/>
  <c r="I31" i="12"/>
  <c r="AJ31" i="12"/>
  <c r="AK31" i="12" s="1"/>
  <c r="AL31" i="12" s="1"/>
  <c r="I31" i="9"/>
  <c r="J31" i="9" s="1"/>
  <c r="AJ31" i="9"/>
  <c r="I32" i="7"/>
  <c r="J32" i="7" s="1"/>
  <c r="AJ31" i="7"/>
  <c r="AK31" i="7" s="1"/>
  <c r="AL31" i="7" s="1"/>
  <c r="H31" i="1"/>
  <c r="H31" i="6"/>
  <c r="Y31" i="10"/>
  <c r="Y29" i="4"/>
  <c r="Y30" i="5"/>
  <c r="Y30" i="16"/>
  <c r="Y29" i="9"/>
  <c r="N32" i="16"/>
  <c r="K32" i="16"/>
  <c r="C33" i="16"/>
  <c r="A34" i="16"/>
  <c r="B33" i="16"/>
  <c r="H33" i="16" s="1"/>
  <c r="T30" i="16"/>
  <c r="U30" i="16"/>
  <c r="X31" i="16"/>
  <c r="S31" i="16"/>
  <c r="W31" i="16"/>
  <c r="Y30" i="15"/>
  <c r="N32" i="15"/>
  <c r="K32" i="15"/>
  <c r="X31" i="15"/>
  <c r="S31" i="15"/>
  <c r="W31" i="15"/>
  <c r="T30" i="15"/>
  <c r="U30" i="15"/>
  <c r="A34" i="15"/>
  <c r="C33" i="15"/>
  <c r="B33" i="15"/>
  <c r="H33" i="15" s="1"/>
  <c r="K32" i="14"/>
  <c r="N32" i="14"/>
  <c r="U30" i="14"/>
  <c r="T30" i="14"/>
  <c r="Y30" i="14"/>
  <c r="S31" i="14"/>
  <c r="W31" i="14"/>
  <c r="X31" i="14"/>
  <c r="C33" i="14"/>
  <c r="B33" i="14"/>
  <c r="H33" i="14" s="1"/>
  <c r="A34" i="14"/>
  <c r="Y29" i="12"/>
  <c r="S30" i="12"/>
  <c r="W30" i="12"/>
  <c r="X30" i="12"/>
  <c r="T29" i="12"/>
  <c r="U29" i="12"/>
  <c r="J30" i="12"/>
  <c r="K31" i="12"/>
  <c r="N31" i="12"/>
  <c r="C32" i="12"/>
  <c r="A33" i="12"/>
  <c r="B32" i="12"/>
  <c r="H32" i="12" s="1"/>
  <c r="T29" i="9"/>
  <c r="U29" i="9"/>
  <c r="W30" i="9"/>
  <c r="S30" i="9"/>
  <c r="X30" i="9"/>
  <c r="C32" i="9"/>
  <c r="B32" i="9"/>
  <c r="H32" i="9" s="1"/>
  <c r="A33" i="9"/>
  <c r="K31" i="9"/>
  <c r="N31" i="9"/>
  <c r="Y29" i="1"/>
  <c r="K31" i="1"/>
  <c r="N31" i="1"/>
  <c r="A33" i="1"/>
  <c r="C32" i="1"/>
  <c r="B32" i="1"/>
  <c r="H32" i="1" s="1"/>
  <c r="T29" i="1"/>
  <c r="U29" i="1"/>
  <c r="W30" i="1"/>
  <c r="S30" i="1"/>
  <c r="X30" i="1"/>
  <c r="T29" i="8"/>
  <c r="U29" i="8"/>
  <c r="A33" i="8"/>
  <c r="C32" i="8"/>
  <c r="B32" i="8"/>
  <c r="H32" i="8" s="1"/>
  <c r="Y29" i="8"/>
  <c r="N31" i="8"/>
  <c r="K31" i="8"/>
  <c r="S30" i="8"/>
  <c r="W30" i="8"/>
  <c r="X30" i="8"/>
  <c r="Y30" i="7"/>
  <c r="S31" i="7"/>
  <c r="X31" i="7"/>
  <c r="W31" i="7"/>
  <c r="U30" i="7"/>
  <c r="T30" i="7"/>
  <c r="B33" i="7"/>
  <c r="H33" i="7" s="1"/>
  <c r="A34" i="7"/>
  <c r="C33" i="7"/>
  <c r="K32" i="7"/>
  <c r="N32" i="7"/>
  <c r="K31" i="6"/>
  <c r="N31" i="6"/>
  <c r="Y29" i="6"/>
  <c r="C32" i="6"/>
  <c r="B32" i="6"/>
  <c r="A33" i="6"/>
  <c r="T29" i="6"/>
  <c r="U29" i="6"/>
  <c r="X30" i="6"/>
  <c r="S30" i="6"/>
  <c r="W30" i="6"/>
  <c r="S31" i="5"/>
  <c r="X31" i="5"/>
  <c r="W31" i="5"/>
  <c r="J31" i="5"/>
  <c r="C33" i="5"/>
  <c r="B33" i="5"/>
  <c r="H33" i="5" s="1"/>
  <c r="A34" i="5"/>
  <c r="N32" i="5"/>
  <c r="K32" i="5"/>
  <c r="T30" i="5"/>
  <c r="U30" i="5"/>
  <c r="T29" i="4"/>
  <c r="U29" i="4"/>
  <c r="B32" i="4"/>
  <c r="H32" i="4" s="1"/>
  <c r="A33" i="4"/>
  <c r="C32" i="4"/>
  <c r="K31" i="4"/>
  <c r="N31" i="4"/>
  <c r="S30" i="4"/>
  <c r="X30" i="4"/>
  <c r="W30" i="4"/>
  <c r="X32" i="10"/>
  <c r="W32" i="10"/>
  <c r="S32" i="10"/>
  <c r="T31" i="10"/>
  <c r="U31" i="10"/>
  <c r="C34" i="10"/>
  <c r="B34" i="10"/>
  <c r="H34" i="10" s="1"/>
  <c r="A35" i="10"/>
  <c r="N33" i="10"/>
  <c r="K33" i="10"/>
  <c r="AK32" i="14" l="1"/>
  <c r="AL32" i="14" s="1"/>
  <c r="I31" i="6"/>
  <c r="J31" i="6" s="1"/>
  <c r="AJ31" i="6"/>
  <c r="AK31" i="6" s="1"/>
  <c r="AL31" i="6" s="1"/>
  <c r="AL31" i="4"/>
  <c r="I33" i="5"/>
  <c r="J33" i="5" s="1"/>
  <c r="AJ33" i="5"/>
  <c r="AK33" i="5" s="1"/>
  <c r="AL33" i="5" s="1"/>
  <c r="I32" i="8"/>
  <c r="AJ32" i="8"/>
  <c r="AK32" i="8" s="1"/>
  <c r="AL32" i="8" s="1"/>
  <c r="I33" i="16"/>
  <c r="J33" i="16" s="1"/>
  <c r="AJ33" i="16"/>
  <c r="I32" i="4"/>
  <c r="J32" i="4" s="1"/>
  <c r="AJ32" i="4"/>
  <c r="I34" i="10"/>
  <c r="AJ34" i="10"/>
  <c r="AK34" i="10" s="1"/>
  <c r="AL34" i="10" s="1"/>
  <c r="I32" i="1"/>
  <c r="J32" i="1" s="1"/>
  <c r="AJ32" i="1"/>
  <c r="AK32" i="1" s="1"/>
  <c r="I33" i="15"/>
  <c r="J33" i="15" s="1"/>
  <c r="AJ33" i="15"/>
  <c r="AK33" i="15" s="1"/>
  <c r="I33" i="14"/>
  <c r="J33" i="14" s="1"/>
  <c r="AJ33" i="14"/>
  <c r="AK33" i="14" s="1"/>
  <c r="AL33" i="14" s="1"/>
  <c r="I32" i="12"/>
  <c r="AJ32" i="12"/>
  <c r="AK32" i="12" s="1"/>
  <c r="AL32" i="12" s="1"/>
  <c r="I32" i="9"/>
  <c r="J32" i="9" s="1"/>
  <c r="AJ32" i="9"/>
  <c r="AK32" i="9" s="1"/>
  <c r="AL32" i="9" s="1"/>
  <c r="AK31" i="9"/>
  <c r="AL31" i="9" s="1"/>
  <c r="I33" i="7"/>
  <c r="AJ32" i="7"/>
  <c r="AK32" i="7" s="1"/>
  <c r="AL32" i="7" s="1"/>
  <c r="I31" i="1"/>
  <c r="J31" i="1" s="1"/>
  <c r="AJ31" i="1"/>
  <c r="AK31" i="1" s="1"/>
  <c r="AL31" i="1" s="1"/>
  <c r="H32" i="6"/>
  <c r="Y30" i="1"/>
  <c r="Y30" i="4"/>
  <c r="Y31" i="5"/>
  <c r="Y31" i="7"/>
  <c r="Y32" i="10"/>
  <c r="Y31" i="16"/>
  <c r="K33" i="16"/>
  <c r="N33" i="16"/>
  <c r="U31" i="16"/>
  <c r="T31" i="16"/>
  <c r="A35" i="16"/>
  <c r="C34" i="16"/>
  <c r="B34" i="16"/>
  <c r="H34" i="16" s="1"/>
  <c r="X32" i="16"/>
  <c r="S32" i="16"/>
  <c r="W32" i="16"/>
  <c r="Y31" i="15"/>
  <c r="A35" i="15"/>
  <c r="C34" i="15"/>
  <c r="B34" i="15"/>
  <c r="H34" i="15" s="1"/>
  <c r="T31" i="15"/>
  <c r="U31" i="15"/>
  <c r="W32" i="15"/>
  <c r="S32" i="15"/>
  <c r="X32" i="15"/>
  <c r="K33" i="15"/>
  <c r="N33" i="15"/>
  <c r="K33" i="14"/>
  <c r="N33" i="14"/>
  <c r="T31" i="14"/>
  <c r="U31" i="14"/>
  <c r="C34" i="14"/>
  <c r="A35" i="14"/>
  <c r="B34" i="14"/>
  <c r="H34" i="14" s="1"/>
  <c r="Y31" i="14"/>
  <c r="W32" i="14"/>
  <c r="S32" i="14"/>
  <c r="X32" i="14"/>
  <c r="S31" i="12"/>
  <c r="X31" i="12"/>
  <c r="W31" i="12"/>
  <c r="J31" i="12"/>
  <c r="Y30" i="12"/>
  <c r="N32" i="12"/>
  <c r="K32" i="12"/>
  <c r="T30" i="12"/>
  <c r="U30" i="12"/>
  <c r="C33" i="12"/>
  <c r="B33" i="12"/>
  <c r="H33" i="12" s="1"/>
  <c r="A34" i="12"/>
  <c r="C33" i="9"/>
  <c r="A34" i="9"/>
  <c r="B33" i="9"/>
  <c r="H33" i="9" s="1"/>
  <c r="T30" i="9"/>
  <c r="U30" i="9"/>
  <c r="K32" i="9"/>
  <c r="N32" i="9"/>
  <c r="Y30" i="9"/>
  <c r="W31" i="9"/>
  <c r="S31" i="9"/>
  <c r="X31" i="9"/>
  <c r="N32" i="1"/>
  <c r="K32" i="1"/>
  <c r="S31" i="1"/>
  <c r="X31" i="1"/>
  <c r="W31" i="1"/>
  <c r="U30" i="1"/>
  <c r="T30" i="1"/>
  <c r="A34" i="1"/>
  <c r="C33" i="1"/>
  <c r="B33" i="1"/>
  <c r="Y30" i="8"/>
  <c r="S31" i="8"/>
  <c r="W31" i="8"/>
  <c r="X31" i="8"/>
  <c r="A34" i="8"/>
  <c r="C33" i="8"/>
  <c r="B33" i="8"/>
  <c r="T30" i="8"/>
  <c r="U30" i="8"/>
  <c r="J31" i="8"/>
  <c r="N32" i="8"/>
  <c r="K32" i="8"/>
  <c r="B34" i="7"/>
  <c r="H34" i="7" s="1"/>
  <c r="A35" i="7"/>
  <c r="C34" i="7"/>
  <c r="K33" i="7"/>
  <c r="N33" i="7"/>
  <c r="X32" i="7"/>
  <c r="W32" i="7"/>
  <c r="S32" i="7"/>
  <c r="U31" i="7"/>
  <c r="T31" i="7"/>
  <c r="N32" i="6"/>
  <c r="K32" i="6"/>
  <c r="T30" i="6"/>
  <c r="U30" i="6"/>
  <c r="C33" i="6"/>
  <c r="B33" i="6"/>
  <c r="H33" i="6" s="1"/>
  <c r="A34" i="6"/>
  <c r="Y30" i="6"/>
  <c r="X31" i="6"/>
  <c r="W31" i="6"/>
  <c r="S31" i="6"/>
  <c r="S32" i="5"/>
  <c r="W32" i="5"/>
  <c r="X32" i="5"/>
  <c r="J32" i="5"/>
  <c r="A35" i="5"/>
  <c r="C34" i="5"/>
  <c r="B34" i="5"/>
  <c r="H34" i="5" s="1"/>
  <c r="N33" i="5"/>
  <c r="K33" i="5"/>
  <c r="T31" i="5"/>
  <c r="U31" i="5"/>
  <c r="K32" i="4"/>
  <c r="N32" i="4"/>
  <c r="B33" i="4"/>
  <c r="H33" i="4" s="1"/>
  <c r="A34" i="4"/>
  <c r="C33" i="4"/>
  <c r="T30" i="4"/>
  <c r="U30" i="4"/>
  <c r="W31" i="4"/>
  <c r="S31" i="4"/>
  <c r="X31" i="4"/>
  <c r="J33" i="10"/>
  <c r="S33" i="10"/>
  <c r="X33" i="10"/>
  <c r="W33" i="10"/>
  <c r="C35" i="10"/>
  <c r="B35" i="10"/>
  <c r="H35" i="10" s="1"/>
  <c r="A36" i="10"/>
  <c r="N34" i="10"/>
  <c r="K34" i="10"/>
  <c r="T32" i="10"/>
  <c r="U32" i="10"/>
  <c r="AK33" i="16" l="1"/>
  <c r="AL33" i="16" s="1"/>
  <c r="AL32" i="1"/>
  <c r="AK32" i="4"/>
  <c r="AL32" i="4" s="1"/>
  <c r="I33" i="4"/>
  <c r="AJ33" i="4"/>
  <c r="AK33" i="4" s="1"/>
  <c r="AL33" i="4" s="1"/>
  <c r="I35" i="10"/>
  <c r="AJ35" i="10"/>
  <c r="AK35" i="10" s="1"/>
  <c r="AL35" i="10" s="1"/>
  <c r="I33" i="6"/>
  <c r="J33" i="6" s="1"/>
  <c r="AJ33" i="6"/>
  <c r="AK33" i="6" s="1"/>
  <c r="AL33" i="6" s="1"/>
  <c r="I32" i="6"/>
  <c r="J32" i="6" s="1"/>
  <c r="AJ32" i="6"/>
  <c r="AK32" i="6" s="1"/>
  <c r="I34" i="5"/>
  <c r="AJ34" i="5"/>
  <c r="AK34" i="5" s="1"/>
  <c r="AL34" i="5" s="1"/>
  <c r="I34" i="16"/>
  <c r="J34" i="16" s="1"/>
  <c r="AJ34" i="16"/>
  <c r="I34" i="15"/>
  <c r="J34" i="15" s="1"/>
  <c r="AJ34" i="15"/>
  <c r="AK34" i="15" s="1"/>
  <c r="AL34" i="15" s="1"/>
  <c r="AL33" i="15"/>
  <c r="I34" i="14"/>
  <c r="J34" i="14" s="1"/>
  <c r="AJ34" i="14"/>
  <c r="AK34" i="14" s="1"/>
  <c r="AL34" i="14" s="1"/>
  <c r="I33" i="12"/>
  <c r="J33" i="12" s="1"/>
  <c r="AJ33" i="12"/>
  <c r="AK33" i="12" s="1"/>
  <c r="I33" i="9"/>
  <c r="J33" i="9" s="1"/>
  <c r="AJ33" i="9"/>
  <c r="AK33" i="9" s="1"/>
  <c r="I34" i="7"/>
  <c r="AJ33" i="7"/>
  <c r="AK33" i="7" s="1"/>
  <c r="AL33" i="7" s="1"/>
  <c r="N33" i="1"/>
  <c r="K33" i="1"/>
  <c r="H33" i="1"/>
  <c r="H33" i="8"/>
  <c r="Y31" i="12"/>
  <c r="Y32" i="7"/>
  <c r="Y33" i="10"/>
  <c r="Y32" i="16"/>
  <c r="Y31" i="1"/>
  <c r="Y31" i="6"/>
  <c r="T32" i="16"/>
  <c r="U32" i="16"/>
  <c r="A36" i="16"/>
  <c r="C35" i="16"/>
  <c r="B35" i="16"/>
  <c r="K34" i="16"/>
  <c r="N34" i="16"/>
  <c r="W33" i="16"/>
  <c r="S33" i="16"/>
  <c r="X33" i="16"/>
  <c r="K34" i="15"/>
  <c r="N34" i="15"/>
  <c r="X33" i="15"/>
  <c r="W33" i="15"/>
  <c r="S33" i="15"/>
  <c r="A36" i="15"/>
  <c r="C35" i="15"/>
  <c r="B35" i="15"/>
  <c r="H35" i="15" s="1"/>
  <c r="U32" i="15"/>
  <c r="T32" i="15"/>
  <c r="Y32" i="15"/>
  <c r="T32" i="14"/>
  <c r="U32" i="14"/>
  <c r="B35" i="14"/>
  <c r="H35" i="14" s="1"/>
  <c r="A36" i="14"/>
  <c r="C35" i="14"/>
  <c r="Y32" i="14"/>
  <c r="K34" i="14"/>
  <c r="N34" i="14"/>
  <c r="X33" i="14"/>
  <c r="S33" i="14"/>
  <c r="W33" i="14"/>
  <c r="C34" i="12"/>
  <c r="B34" i="12"/>
  <c r="H34" i="12" s="1"/>
  <c r="A35" i="12"/>
  <c r="S32" i="12"/>
  <c r="X32" i="12"/>
  <c r="W32" i="12"/>
  <c r="K33" i="12"/>
  <c r="N33" i="12"/>
  <c r="J32" i="12"/>
  <c r="U31" i="12"/>
  <c r="T31" i="12"/>
  <c r="K33" i="9"/>
  <c r="N33" i="9"/>
  <c r="T31" i="9"/>
  <c r="U31" i="9"/>
  <c r="Y31" i="9"/>
  <c r="W32" i="9"/>
  <c r="S32" i="9"/>
  <c r="X32" i="9"/>
  <c r="B34" i="9"/>
  <c r="H34" i="9" s="1"/>
  <c r="A35" i="9"/>
  <c r="C34" i="9"/>
  <c r="A35" i="1"/>
  <c r="C34" i="1"/>
  <c r="B34" i="1"/>
  <c r="T31" i="1"/>
  <c r="U31" i="1"/>
  <c r="X32" i="1"/>
  <c r="W32" i="1"/>
  <c r="S32" i="1"/>
  <c r="K33" i="8"/>
  <c r="N33" i="8"/>
  <c r="Y31" i="8"/>
  <c r="U31" i="8"/>
  <c r="T31" i="8"/>
  <c r="W32" i="8"/>
  <c r="S32" i="8"/>
  <c r="X32" i="8"/>
  <c r="J32" i="8"/>
  <c r="C34" i="8"/>
  <c r="B34" i="8"/>
  <c r="A35" i="8"/>
  <c r="S33" i="7"/>
  <c r="X33" i="7"/>
  <c r="W33" i="7"/>
  <c r="J33" i="7"/>
  <c r="U32" i="7"/>
  <c r="T32" i="7"/>
  <c r="B35" i="7"/>
  <c r="H35" i="7" s="1"/>
  <c r="A36" i="7"/>
  <c r="C35" i="7"/>
  <c r="K34" i="7"/>
  <c r="N34" i="7"/>
  <c r="K33" i="6"/>
  <c r="N33" i="6"/>
  <c r="U31" i="6"/>
  <c r="T31" i="6"/>
  <c r="B34" i="6"/>
  <c r="H34" i="6" s="1"/>
  <c r="A35" i="6"/>
  <c r="C34" i="6"/>
  <c r="W32" i="6"/>
  <c r="S32" i="6"/>
  <c r="X32" i="6"/>
  <c r="S33" i="5"/>
  <c r="X33" i="5"/>
  <c r="W33" i="5"/>
  <c r="K34" i="5"/>
  <c r="N34" i="5"/>
  <c r="Y32" i="5"/>
  <c r="A36" i="5"/>
  <c r="C35" i="5"/>
  <c r="B35" i="5"/>
  <c r="H35" i="5" s="1"/>
  <c r="U32" i="5"/>
  <c r="T32" i="5"/>
  <c r="T31" i="4"/>
  <c r="U31" i="4"/>
  <c r="Y31" i="4"/>
  <c r="B34" i="4"/>
  <c r="A35" i="4"/>
  <c r="C34" i="4"/>
  <c r="K33" i="4"/>
  <c r="N33" i="4"/>
  <c r="W32" i="4"/>
  <c r="S32" i="4"/>
  <c r="X32" i="4"/>
  <c r="W34" i="10"/>
  <c r="S34" i="10"/>
  <c r="X34" i="10"/>
  <c r="J34" i="10"/>
  <c r="C36" i="10"/>
  <c r="B36" i="10"/>
  <c r="H36" i="10" s="1"/>
  <c r="A37" i="10"/>
  <c r="N35" i="10"/>
  <c r="K35" i="10"/>
  <c r="U33" i="10"/>
  <c r="T33" i="10"/>
  <c r="AK34" i="16" l="1"/>
  <c r="AL34" i="16" s="1"/>
  <c r="AL33" i="12"/>
  <c r="AL32" i="6"/>
  <c r="I36" i="10"/>
  <c r="J36" i="10" s="1"/>
  <c r="AJ36" i="10"/>
  <c r="AK36" i="10" s="1"/>
  <c r="AL36" i="10" s="1"/>
  <c r="I33" i="8"/>
  <c r="J33" i="8" s="1"/>
  <c r="AJ33" i="8"/>
  <c r="AK33" i="8" s="1"/>
  <c r="AL33" i="8" s="1"/>
  <c r="I33" i="1"/>
  <c r="J33" i="1" s="1"/>
  <c r="AJ33" i="1"/>
  <c r="I35" i="5"/>
  <c r="J35" i="5" s="1"/>
  <c r="AJ35" i="5"/>
  <c r="AK35" i="5" s="1"/>
  <c r="AL35" i="5" s="1"/>
  <c r="I34" i="6"/>
  <c r="AJ34" i="6"/>
  <c r="AK34" i="6" s="1"/>
  <c r="AL34" i="6" s="1"/>
  <c r="I35" i="15"/>
  <c r="J35" i="15" s="1"/>
  <c r="AJ35" i="15"/>
  <c r="I35" i="14"/>
  <c r="J35" i="14" s="1"/>
  <c r="AJ35" i="14"/>
  <c r="I34" i="12"/>
  <c r="J34" i="12" s="1"/>
  <c r="AJ34" i="12"/>
  <c r="AL33" i="9"/>
  <c r="I34" i="9"/>
  <c r="AJ34" i="9"/>
  <c r="AK34" i="9" s="1"/>
  <c r="AL34" i="9" s="1"/>
  <c r="I35" i="7"/>
  <c r="J35" i="7" s="1"/>
  <c r="AJ34" i="7"/>
  <c r="AK34" i="7" s="1"/>
  <c r="AL34" i="7" s="1"/>
  <c r="H35" i="16"/>
  <c r="I35" i="16" s="1"/>
  <c r="J35" i="16" s="1"/>
  <c r="K34" i="1"/>
  <c r="N34" i="1"/>
  <c r="H34" i="1"/>
  <c r="H34" i="8"/>
  <c r="H34" i="4"/>
  <c r="Y33" i="5"/>
  <c r="Y32" i="4"/>
  <c r="Y32" i="8"/>
  <c r="Y32" i="1"/>
  <c r="Y32" i="12"/>
  <c r="U33" i="16"/>
  <c r="T33" i="16"/>
  <c r="A37" i="16"/>
  <c r="C36" i="16"/>
  <c r="B36" i="16"/>
  <c r="Y33" i="16"/>
  <c r="X34" i="16"/>
  <c r="S34" i="16"/>
  <c r="W34" i="16"/>
  <c r="N35" i="16"/>
  <c r="K35" i="16"/>
  <c r="A37" i="15"/>
  <c r="C36" i="15"/>
  <c r="B36" i="15"/>
  <c r="H36" i="15" s="1"/>
  <c r="T33" i="15"/>
  <c r="U33" i="15"/>
  <c r="N35" i="15"/>
  <c r="K35" i="15"/>
  <c r="Y33" i="15"/>
  <c r="W34" i="15"/>
  <c r="S34" i="15"/>
  <c r="X34" i="15"/>
  <c r="Y33" i="14"/>
  <c r="U33" i="14"/>
  <c r="T33" i="14"/>
  <c r="A37" i="14"/>
  <c r="B36" i="14"/>
  <c r="H36" i="14" s="1"/>
  <c r="C36" i="14"/>
  <c r="K35" i="14"/>
  <c r="N35" i="14"/>
  <c r="S34" i="14"/>
  <c r="X34" i="14"/>
  <c r="W34" i="14"/>
  <c r="T32" i="12"/>
  <c r="U32" i="12"/>
  <c r="X33" i="12"/>
  <c r="W33" i="12"/>
  <c r="S33" i="12"/>
  <c r="C35" i="12"/>
  <c r="A36" i="12"/>
  <c r="B35" i="12"/>
  <c r="H35" i="12" s="1"/>
  <c r="K34" i="12"/>
  <c r="N34" i="12"/>
  <c r="T32" i="9"/>
  <c r="U32" i="9"/>
  <c r="A36" i="9"/>
  <c r="C35" i="9"/>
  <c r="B35" i="9"/>
  <c r="H35" i="9" s="1"/>
  <c r="Y32" i="9"/>
  <c r="K34" i="9"/>
  <c r="N34" i="9"/>
  <c r="S33" i="9"/>
  <c r="X33" i="9"/>
  <c r="W33" i="9"/>
  <c r="A36" i="1"/>
  <c r="C35" i="1"/>
  <c r="B35" i="1"/>
  <c r="T32" i="1"/>
  <c r="U32" i="1"/>
  <c r="X33" i="1"/>
  <c r="W33" i="1"/>
  <c r="S33" i="1"/>
  <c r="A36" i="8"/>
  <c r="C35" i="8"/>
  <c r="B35" i="8"/>
  <c r="H35" i="8" s="1"/>
  <c r="N34" i="8"/>
  <c r="K34" i="8"/>
  <c r="U32" i="8"/>
  <c r="T32" i="8"/>
  <c r="X33" i="8"/>
  <c r="S33" i="8"/>
  <c r="W33" i="8"/>
  <c r="K35" i="7"/>
  <c r="N35" i="7"/>
  <c r="Y33" i="7"/>
  <c r="A37" i="7"/>
  <c r="B36" i="7"/>
  <c r="C36" i="7"/>
  <c r="W34" i="7"/>
  <c r="S34" i="7"/>
  <c r="X34" i="7"/>
  <c r="J34" i="7"/>
  <c r="U33" i="7"/>
  <c r="T33" i="7"/>
  <c r="J34" i="6"/>
  <c r="K34" i="6"/>
  <c r="N34" i="6"/>
  <c r="C35" i="6"/>
  <c r="B35" i="6"/>
  <c r="H35" i="6" s="1"/>
  <c r="A36" i="6"/>
  <c r="T32" i="6"/>
  <c r="U32" i="6"/>
  <c r="Y32" i="6"/>
  <c r="S33" i="6"/>
  <c r="X33" i="6"/>
  <c r="W33" i="6"/>
  <c r="X34" i="5"/>
  <c r="W34" i="5"/>
  <c r="S34" i="5"/>
  <c r="N35" i="5"/>
  <c r="K35" i="5"/>
  <c r="J34" i="5"/>
  <c r="A37" i="5"/>
  <c r="C36" i="5"/>
  <c r="B36" i="5"/>
  <c r="H36" i="5" s="1"/>
  <c r="T33" i="5"/>
  <c r="U33" i="5"/>
  <c r="K34" i="4"/>
  <c r="N34" i="4"/>
  <c r="S33" i="4"/>
  <c r="X33" i="4"/>
  <c r="W33" i="4"/>
  <c r="U32" i="4"/>
  <c r="T32" i="4"/>
  <c r="J33" i="4"/>
  <c r="C35" i="4"/>
  <c r="B35" i="4"/>
  <c r="A36" i="4"/>
  <c r="X35" i="10"/>
  <c r="S35" i="10"/>
  <c r="W35" i="10"/>
  <c r="J35" i="10"/>
  <c r="C37" i="10"/>
  <c r="A38" i="10"/>
  <c r="B37" i="10"/>
  <c r="H37" i="10" s="1"/>
  <c r="N36" i="10"/>
  <c r="K36" i="10"/>
  <c r="T34" i="10"/>
  <c r="U34" i="10"/>
  <c r="Y34" i="10"/>
  <c r="AK35" i="15" l="1"/>
  <c r="AL35" i="15" s="1"/>
  <c r="AK34" i="12"/>
  <c r="AL34" i="12" s="1"/>
  <c r="AK33" i="1"/>
  <c r="AL33" i="1" s="1"/>
  <c r="I35" i="6"/>
  <c r="AJ35" i="6"/>
  <c r="AK35" i="6" s="1"/>
  <c r="AL35" i="6" s="1"/>
  <c r="I35" i="8"/>
  <c r="J35" i="8" s="1"/>
  <c r="AJ35" i="8"/>
  <c r="AK35" i="8" s="1"/>
  <c r="AL35" i="8" s="1"/>
  <c r="I36" i="15"/>
  <c r="J36" i="15" s="1"/>
  <c r="AJ36" i="15"/>
  <c r="I34" i="8"/>
  <c r="J34" i="8" s="1"/>
  <c r="AJ34" i="8"/>
  <c r="AK34" i="8" s="1"/>
  <c r="I37" i="10"/>
  <c r="AJ37" i="10"/>
  <c r="I34" i="4"/>
  <c r="J34" i="4" s="1"/>
  <c r="AJ34" i="4"/>
  <c r="AK34" i="4" s="1"/>
  <c r="AL34" i="4" s="1"/>
  <c r="AJ35" i="16"/>
  <c r="AK35" i="16" s="1"/>
  <c r="I36" i="5"/>
  <c r="J36" i="5" s="1"/>
  <c r="AJ36" i="5"/>
  <c r="AK36" i="5" s="1"/>
  <c r="AL36" i="5" s="1"/>
  <c r="I36" i="14"/>
  <c r="J36" i="14" s="1"/>
  <c r="AJ36" i="14"/>
  <c r="AK36" i="14" s="1"/>
  <c r="AL36" i="14" s="1"/>
  <c r="AK35" i="14"/>
  <c r="AL35" i="14" s="1"/>
  <c r="I35" i="12"/>
  <c r="J35" i="12" s="1"/>
  <c r="AJ35" i="12"/>
  <c r="AK35" i="12" s="1"/>
  <c r="AL35" i="12" s="1"/>
  <c r="I35" i="9"/>
  <c r="AJ35" i="9"/>
  <c r="AK35" i="9" s="1"/>
  <c r="AL35" i="9" s="1"/>
  <c r="I34" i="1"/>
  <c r="J34" i="1" s="1"/>
  <c r="AJ34" i="1"/>
  <c r="AK34" i="1" s="1"/>
  <c r="H36" i="16"/>
  <c r="I36" i="16" s="1"/>
  <c r="J36" i="16" s="1"/>
  <c r="N35" i="1"/>
  <c r="K35" i="1"/>
  <c r="H35" i="1"/>
  <c r="Y33" i="9"/>
  <c r="H36" i="7"/>
  <c r="H35" i="4"/>
  <c r="Y34" i="14"/>
  <c r="Y34" i="5"/>
  <c r="Y35" i="10"/>
  <c r="Y33" i="6"/>
  <c r="Y33" i="8"/>
  <c r="Y34" i="16"/>
  <c r="Y34" i="15"/>
  <c r="Y33" i="1"/>
  <c r="T34" i="16"/>
  <c r="U34" i="16"/>
  <c r="C37" i="16"/>
  <c r="A38" i="16"/>
  <c r="B37" i="16"/>
  <c r="H37" i="16" s="1"/>
  <c r="X35" i="16"/>
  <c r="W35" i="16"/>
  <c r="S35" i="16"/>
  <c r="N36" i="16"/>
  <c r="K36" i="16"/>
  <c r="X35" i="15"/>
  <c r="W35" i="15"/>
  <c r="S35" i="15"/>
  <c r="T34" i="15"/>
  <c r="U34" i="15"/>
  <c r="N36" i="15"/>
  <c r="K36" i="15"/>
  <c r="A38" i="15"/>
  <c r="C37" i="15"/>
  <c r="B37" i="15"/>
  <c r="H37" i="15" s="1"/>
  <c r="A38" i="14"/>
  <c r="C37" i="14"/>
  <c r="B37" i="14"/>
  <c r="H37" i="14" s="1"/>
  <c r="T34" i="14"/>
  <c r="U34" i="14"/>
  <c r="W35" i="14"/>
  <c r="S35" i="14"/>
  <c r="X35" i="14"/>
  <c r="K36" i="14"/>
  <c r="N36" i="14"/>
  <c r="K35" i="12"/>
  <c r="N35" i="12"/>
  <c r="Y33" i="12"/>
  <c r="A37" i="12"/>
  <c r="C36" i="12"/>
  <c r="B36" i="12"/>
  <c r="H36" i="12" s="1"/>
  <c r="X34" i="12"/>
  <c r="W34" i="12"/>
  <c r="S34" i="12"/>
  <c r="T33" i="12"/>
  <c r="U33" i="12"/>
  <c r="S34" i="9"/>
  <c r="W34" i="9"/>
  <c r="X34" i="9"/>
  <c r="B36" i="9"/>
  <c r="H36" i="9" s="1"/>
  <c r="A37" i="9"/>
  <c r="C36" i="9"/>
  <c r="T33" i="9"/>
  <c r="U33" i="9"/>
  <c r="J34" i="9"/>
  <c r="K35" i="9"/>
  <c r="N35" i="9"/>
  <c r="T33" i="1"/>
  <c r="U33" i="1"/>
  <c r="S34" i="1"/>
  <c r="W34" i="1"/>
  <c r="X34" i="1"/>
  <c r="A37" i="1"/>
  <c r="C36" i="1"/>
  <c r="B36" i="1"/>
  <c r="N35" i="8"/>
  <c r="K35" i="8"/>
  <c r="X34" i="8"/>
  <c r="W34" i="8"/>
  <c r="S34" i="8"/>
  <c r="T33" i="8"/>
  <c r="U33" i="8"/>
  <c r="C36" i="8"/>
  <c r="A37" i="8"/>
  <c r="B36" i="8"/>
  <c r="H36" i="8" s="1"/>
  <c r="K36" i="7"/>
  <c r="N36" i="7"/>
  <c r="T34" i="7"/>
  <c r="U34" i="7"/>
  <c r="A38" i="7"/>
  <c r="C37" i="7"/>
  <c r="B37" i="7"/>
  <c r="Y34" i="7"/>
  <c r="W35" i="7"/>
  <c r="S35" i="7"/>
  <c r="X35" i="7"/>
  <c r="U33" i="6"/>
  <c r="T33" i="6"/>
  <c r="C36" i="6"/>
  <c r="A37" i="6"/>
  <c r="B36" i="6"/>
  <c r="H36" i="6" s="1"/>
  <c r="J35" i="6"/>
  <c r="N35" i="6"/>
  <c r="K35" i="6"/>
  <c r="W34" i="6"/>
  <c r="X34" i="6"/>
  <c r="S34" i="6"/>
  <c r="N36" i="5"/>
  <c r="K36" i="5"/>
  <c r="U34" i="5"/>
  <c r="T34" i="5"/>
  <c r="X35" i="5"/>
  <c r="W35" i="5"/>
  <c r="S35" i="5"/>
  <c r="A38" i="5"/>
  <c r="C37" i="5"/>
  <c r="B37" i="5"/>
  <c r="H37" i="5" s="1"/>
  <c r="K35" i="4"/>
  <c r="N35" i="4"/>
  <c r="Y33" i="4"/>
  <c r="C36" i="4"/>
  <c r="A37" i="4"/>
  <c r="B36" i="4"/>
  <c r="H36" i="4" s="1"/>
  <c r="T33" i="4"/>
  <c r="U33" i="4"/>
  <c r="W34" i="4"/>
  <c r="X34" i="4"/>
  <c r="S34" i="4"/>
  <c r="K37" i="10"/>
  <c r="N37" i="10"/>
  <c r="W36" i="10"/>
  <c r="X36" i="10"/>
  <c r="S36" i="10"/>
  <c r="C38" i="10"/>
  <c r="B38" i="10"/>
  <c r="H38" i="10" s="1"/>
  <c r="A39" i="10"/>
  <c r="U35" i="10"/>
  <c r="T35" i="10"/>
  <c r="AL35" i="16" l="1"/>
  <c r="AK36" i="15"/>
  <c r="AL36" i="15" s="1"/>
  <c r="AL34" i="8"/>
  <c r="I37" i="5"/>
  <c r="AJ37" i="5"/>
  <c r="AK37" i="5" s="1"/>
  <c r="AL37" i="5" s="1"/>
  <c r="I35" i="4"/>
  <c r="J35" i="4" s="1"/>
  <c r="AJ35" i="4"/>
  <c r="AK35" i="4" s="1"/>
  <c r="I36" i="8"/>
  <c r="J36" i="8" s="1"/>
  <c r="AJ36" i="8"/>
  <c r="AK36" i="8" s="1"/>
  <c r="AL36" i="8" s="1"/>
  <c r="I36" i="6"/>
  <c r="AJ36" i="6"/>
  <c r="AK36" i="6" s="1"/>
  <c r="I37" i="16"/>
  <c r="J37" i="16" s="1"/>
  <c r="AJ37" i="16"/>
  <c r="AK37" i="16" s="1"/>
  <c r="AJ36" i="16"/>
  <c r="I36" i="4"/>
  <c r="J36" i="4" s="1"/>
  <c r="AJ36" i="4"/>
  <c r="AK36" i="4" s="1"/>
  <c r="I36" i="9"/>
  <c r="J36" i="9" s="1"/>
  <c r="AJ36" i="9"/>
  <c r="AK36" i="9" s="1"/>
  <c r="AK37" i="10"/>
  <c r="AL37" i="10" s="1"/>
  <c r="I38" i="10"/>
  <c r="J38" i="10" s="1"/>
  <c r="AJ38" i="10"/>
  <c r="AK38" i="10" s="1"/>
  <c r="I37" i="15"/>
  <c r="J37" i="15" s="1"/>
  <c r="AJ37" i="15"/>
  <c r="AK37" i="15" s="1"/>
  <c r="AL37" i="15" s="1"/>
  <c r="I37" i="14"/>
  <c r="J37" i="14" s="1"/>
  <c r="AJ37" i="14"/>
  <c r="AK37" i="14" s="1"/>
  <c r="AL37" i="14" s="1"/>
  <c r="I36" i="12"/>
  <c r="J36" i="12" s="1"/>
  <c r="AJ36" i="12"/>
  <c r="AK36" i="12" s="1"/>
  <c r="AL36" i="12" s="1"/>
  <c r="I35" i="1"/>
  <c r="J35" i="1" s="1"/>
  <c r="AJ35" i="1"/>
  <c r="AK35" i="1" s="1"/>
  <c r="AL35" i="1" s="1"/>
  <c r="AL34" i="1"/>
  <c r="I36" i="7"/>
  <c r="J36" i="7" s="1"/>
  <c r="AJ35" i="7"/>
  <c r="AK35" i="7" s="1"/>
  <c r="AL35" i="7" s="1"/>
  <c r="N36" i="1"/>
  <c r="K36" i="1"/>
  <c r="H36" i="1"/>
  <c r="Y35" i="5"/>
  <c r="Y35" i="15"/>
  <c r="H37" i="7"/>
  <c r="Y35" i="16"/>
  <c r="U35" i="16"/>
  <c r="T35" i="16"/>
  <c r="C38" i="16"/>
  <c r="B38" i="16"/>
  <c r="H38" i="16" s="1"/>
  <c r="A39" i="16"/>
  <c r="X36" i="16"/>
  <c r="W36" i="16"/>
  <c r="S36" i="16"/>
  <c r="N37" i="16"/>
  <c r="K37" i="16"/>
  <c r="K37" i="15"/>
  <c r="N37" i="15"/>
  <c r="U35" i="15"/>
  <c r="T35" i="15"/>
  <c r="X36" i="15"/>
  <c r="W36" i="15"/>
  <c r="S36" i="15"/>
  <c r="B38" i="15"/>
  <c r="H38" i="15" s="1"/>
  <c r="A39" i="15"/>
  <c r="C38" i="15"/>
  <c r="K37" i="14"/>
  <c r="N37" i="14"/>
  <c r="U35" i="14"/>
  <c r="T35" i="14"/>
  <c r="Y35" i="14"/>
  <c r="W36" i="14"/>
  <c r="S36" i="14"/>
  <c r="X36" i="14"/>
  <c r="C38" i="14"/>
  <c r="A39" i="14"/>
  <c r="B38" i="14"/>
  <c r="H38" i="14" s="1"/>
  <c r="K36" i="12"/>
  <c r="N36" i="12"/>
  <c r="T34" i="12"/>
  <c r="U34" i="12"/>
  <c r="Y34" i="12"/>
  <c r="A38" i="12"/>
  <c r="C37" i="12"/>
  <c r="B37" i="12"/>
  <c r="H37" i="12" s="1"/>
  <c r="S35" i="12"/>
  <c r="W35" i="12"/>
  <c r="X35" i="12"/>
  <c r="K36" i="9"/>
  <c r="N36" i="9"/>
  <c r="S35" i="9"/>
  <c r="X35" i="9"/>
  <c r="W35" i="9"/>
  <c r="Y34" i="9"/>
  <c r="J35" i="9"/>
  <c r="B37" i="9"/>
  <c r="H37" i="9" s="1"/>
  <c r="A38" i="9"/>
  <c r="C37" i="9"/>
  <c r="T34" i="9"/>
  <c r="U34" i="9"/>
  <c r="Y34" i="1"/>
  <c r="U34" i="1"/>
  <c r="T34" i="1"/>
  <c r="A38" i="1"/>
  <c r="C37" i="1"/>
  <c r="B37" i="1"/>
  <c r="H37" i="1" s="1"/>
  <c r="S35" i="1"/>
  <c r="X35" i="1"/>
  <c r="W35" i="1"/>
  <c r="N36" i="8"/>
  <c r="K36" i="8"/>
  <c r="C37" i="8"/>
  <c r="B37" i="8"/>
  <c r="H37" i="8" s="1"/>
  <c r="A38" i="8"/>
  <c r="T34" i="8"/>
  <c r="U34" i="8"/>
  <c r="Y34" i="8"/>
  <c r="X35" i="8"/>
  <c r="W35" i="8"/>
  <c r="S35" i="8"/>
  <c r="N37" i="7"/>
  <c r="K37" i="7"/>
  <c r="C38" i="7"/>
  <c r="A39" i="7"/>
  <c r="B38" i="7"/>
  <c r="H38" i="7" s="1"/>
  <c r="T35" i="7"/>
  <c r="U35" i="7"/>
  <c r="Y35" i="7"/>
  <c r="S36" i="7"/>
  <c r="W36" i="7"/>
  <c r="X36" i="7"/>
  <c r="Y34" i="6"/>
  <c r="U34" i="6"/>
  <c r="T34" i="6"/>
  <c r="B37" i="6"/>
  <c r="H37" i="6" s="1"/>
  <c r="A38" i="6"/>
  <c r="C37" i="6"/>
  <c r="W35" i="6"/>
  <c r="X35" i="6"/>
  <c r="S35" i="6"/>
  <c r="N36" i="6"/>
  <c r="K36" i="6"/>
  <c r="J37" i="5"/>
  <c r="N37" i="5"/>
  <c r="K37" i="5"/>
  <c r="A39" i="5"/>
  <c r="C38" i="5"/>
  <c r="B38" i="5"/>
  <c r="H38" i="5" s="1"/>
  <c r="U35" i="5"/>
  <c r="T35" i="5"/>
  <c r="X36" i="5"/>
  <c r="W36" i="5"/>
  <c r="S36" i="5"/>
  <c r="K36" i="4"/>
  <c r="N36" i="4"/>
  <c r="Y34" i="4"/>
  <c r="B37" i="4"/>
  <c r="H37" i="4" s="1"/>
  <c r="A38" i="4"/>
  <c r="A39" i="4" s="1"/>
  <c r="C37" i="4"/>
  <c r="T34" i="4"/>
  <c r="U34" i="4"/>
  <c r="W35" i="4"/>
  <c r="S35" i="4"/>
  <c r="X35" i="4"/>
  <c r="X37" i="10"/>
  <c r="S37" i="10"/>
  <c r="W37" i="10"/>
  <c r="U36" i="10"/>
  <c r="T36" i="10"/>
  <c r="C39" i="10"/>
  <c r="B39" i="10"/>
  <c r="H39" i="10" s="1"/>
  <c r="A40" i="10"/>
  <c r="J37" i="10"/>
  <c r="K38" i="10"/>
  <c r="N38" i="10"/>
  <c r="Y36" i="10"/>
  <c r="AL35" i="4" l="1"/>
  <c r="AL38" i="10"/>
  <c r="B39" i="4"/>
  <c r="H39" i="4" s="1"/>
  <c r="I39" i="4" s="1"/>
  <c r="J39" i="4" s="1"/>
  <c r="A40" i="4"/>
  <c r="AL36" i="6"/>
  <c r="AK36" i="16"/>
  <c r="AL36" i="16" s="1"/>
  <c r="AL36" i="9"/>
  <c r="AL36" i="4"/>
  <c r="I38" i="5"/>
  <c r="AJ38" i="5"/>
  <c r="AK38" i="5" s="1"/>
  <c r="AL38" i="5" s="1"/>
  <c r="I37" i="1"/>
  <c r="AJ37" i="1"/>
  <c r="AK37" i="1" s="1"/>
  <c r="AL37" i="1" s="1"/>
  <c r="I37" i="6"/>
  <c r="J37" i="6" s="1"/>
  <c r="AJ37" i="6"/>
  <c r="AK37" i="6" s="1"/>
  <c r="I37" i="8"/>
  <c r="AJ37" i="8"/>
  <c r="AK37" i="8" s="1"/>
  <c r="AL37" i="8" s="1"/>
  <c r="I38" i="16"/>
  <c r="J38" i="16" s="1"/>
  <c r="AJ38" i="16"/>
  <c r="I37" i="9"/>
  <c r="J37" i="9" s="1"/>
  <c r="AJ37" i="9"/>
  <c r="AK37" i="9" s="1"/>
  <c r="AL37" i="9" s="1"/>
  <c r="I37" i="4"/>
  <c r="J37" i="4" s="1"/>
  <c r="AJ37" i="4"/>
  <c r="I39" i="10"/>
  <c r="J39" i="10" s="1"/>
  <c r="AJ39" i="10"/>
  <c r="AK39" i="10" s="1"/>
  <c r="AL37" i="16"/>
  <c r="I38" i="15"/>
  <c r="J38" i="15" s="1"/>
  <c r="AJ38" i="15"/>
  <c r="I38" i="14"/>
  <c r="J38" i="14" s="1"/>
  <c r="AJ38" i="14"/>
  <c r="AK38" i="14" s="1"/>
  <c r="I37" i="12"/>
  <c r="AJ37" i="12"/>
  <c r="AK37" i="12" s="1"/>
  <c r="AL37" i="12" s="1"/>
  <c r="I36" i="1"/>
  <c r="J36" i="1" s="1"/>
  <c r="AJ36" i="1"/>
  <c r="AK36" i="1" s="1"/>
  <c r="AL36" i="1" s="1"/>
  <c r="I38" i="7"/>
  <c r="J38" i="7" s="1"/>
  <c r="AJ37" i="7"/>
  <c r="I37" i="7"/>
  <c r="J37" i="7" s="1"/>
  <c r="AJ36" i="7"/>
  <c r="Y36" i="14"/>
  <c r="Y36" i="5"/>
  <c r="Y35" i="4"/>
  <c r="Y35" i="1"/>
  <c r="Y36" i="16"/>
  <c r="Y35" i="8"/>
  <c r="Y37" i="10"/>
  <c r="N38" i="16"/>
  <c r="K38" i="16"/>
  <c r="U36" i="16"/>
  <c r="T36" i="16"/>
  <c r="S37" i="16"/>
  <c r="W37" i="16"/>
  <c r="X37" i="16"/>
  <c r="C39" i="16"/>
  <c r="B39" i="16"/>
  <c r="H39" i="16" s="1"/>
  <c r="A40" i="16"/>
  <c r="Y36" i="15"/>
  <c r="A40" i="15"/>
  <c r="C39" i="15"/>
  <c r="B39" i="15"/>
  <c r="H39" i="15" s="1"/>
  <c r="N38" i="15"/>
  <c r="K38" i="15"/>
  <c r="U36" i="15"/>
  <c r="T36" i="15"/>
  <c r="X37" i="15"/>
  <c r="S37" i="15"/>
  <c r="W37" i="15"/>
  <c r="A40" i="14"/>
  <c r="C39" i="14"/>
  <c r="B39" i="14"/>
  <c r="H39" i="14" s="1"/>
  <c r="N38" i="14"/>
  <c r="K38" i="14"/>
  <c r="T36" i="14"/>
  <c r="U36" i="14"/>
  <c r="S37" i="14"/>
  <c r="X37" i="14"/>
  <c r="W37" i="14"/>
  <c r="Y35" i="12"/>
  <c r="A39" i="12"/>
  <c r="C38" i="12"/>
  <c r="B38" i="12"/>
  <c r="H38" i="12" s="1"/>
  <c r="T35" i="12"/>
  <c r="U35" i="12"/>
  <c r="K37" i="12"/>
  <c r="N37" i="12"/>
  <c r="X36" i="12"/>
  <c r="W36" i="12"/>
  <c r="S36" i="12"/>
  <c r="B38" i="9"/>
  <c r="H38" i="9" s="1"/>
  <c r="A39" i="9"/>
  <c r="C38" i="9"/>
  <c r="Y35" i="9"/>
  <c r="K37" i="9"/>
  <c r="N37" i="9"/>
  <c r="U35" i="9"/>
  <c r="T35" i="9"/>
  <c r="S36" i="9"/>
  <c r="X36" i="9"/>
  <c r="W36" i="9"/>
  <c r="A39" i="1"/>
  <c r="C38" i="1"/>
  <c r="B38" i="1"/>
  <c r="H38" i="1" s="1"/>
  <c r="U35" i="1"/>
  <c r="T35" i="1"/>
  <c r="K37" i="1"/>
  <c r="N37" i="1"/>
  <c r="W36" i="1"/>
  <c r="X36" i="1"/>
  <c r="S36" i="1"/>
  <c r="C38" i="8"/>
  <c r="B38" i="8"/>
  <c r="H38" i="8" s="1"/>
  <c r="A39" i="8"/>
  <c r="N37" i="8"/>
  <c r="K37" i="8"/>
  <c r="T35" i="8"/>
  <c r="U35" i="8"/>
  <c r="X36" i="8"/>
  <c r="S36" i="8"/>
  <c r="W36" i="8"/>
  <c r="Y36" i="7"/>
  <c r="U36" i="7"/>
  <c r="T36" i="7"/>
  <c r="N38" i="7"/>
  <c r="K38" i="7"/>
  <c r="A40" i="7"/>
  <c r="C39" i="7"/>
  <c r="B39" i="7"/>
  <c r="H39" i="7" s="1"/>
  <c r="X37" i="7"/>
  <c r="W37" i="7"/>
  <c r="S37" i="7"/>
  <c r="K37" i="6"/>
  <c r="N37" i="6"/>
  <c r="Y35" i="6"/>
  <c r="S36" i="6"/>
  <c r="X36" i="6"/>
  <c r="W36" i="6"/>
  <c r="J36" i="6"/>
  <c r="T35" i="6"/>
  <c r="U35" i="6"/>
  <c r="B38" i="6"/>
  <c r="C38" i="6"/>
  <c r="A39" i="6"/>
  <c r="A40" i="5"/>
  <c r="C39" i="5"/>
  <c r="B39" i="5"/>
  <c r="H39" i="5" s="1"/>
  <c r="U36" i="5"/>
  <c r="T36" i="5"/>
  <c r="K38" i="5"/>
  <c r="N38" i="5"/>
  <c r="X37" i="5"/>
  <c r="S37" i="5"/>
  <c r="W37" i="5"/>
  <c r="C38" i="4"/>
  <c r="B38" i="4"/>
  <c r="H38" i="4" s="1"/>
  <c r="K37" i="4"/>
  <c r="N37" i="4"/>
  <c r="U35" i="4"/>
  <c r="T35" i="4"/>
  <c r="S36" i="4"/>
  <c r="X36" i="4"/>
  <c r="W36" i="4"/>
  <c r="C40" i="10"/>
  <c r="B40" i="10"/>
  <c r="H40" i="10" s="1"/>
  <c r="A41" i="10"/>
  <c r="K39" i="10"/>
  <c r="N39" i="10"/>
  <c r="U37" i="10"/>
  <c r="T37" i="10"/>
  <c r="W38" i="10"/>
  <c r="S38" i="10"/>
  <c r="X38" i="10"/>
  <c r="AK38" i="16" l="1"/>
  <c r="AL38" i="16" s="1"/>
  <c r="B40" i="4"/>
  <c r="A41" i="4"/>
  <c r="B41" i="4" s="1"/>
  <c r="J41" i="4" s="1"/>
  <c r="K39" i="4"/>
  <c r="N39" i="4"/>
  <c r="AL38" i="14"/>
  <c r="AK36" i="7"/>
  <c r="AL36" i="7" s="1"/>
  <c r="AK37" i="7"/>
  <c r="AL37" i="7" s="1"/>
  <c r="AL37" i="6"/>
  <c r="AL39" i="10"/>
  <c r="AJ38" i="1"/>
  <c r="AK38" i="1" s="1"/>
  <c r="AL38" i="1" s="1"/>
  <c r="I39" i="16"/>
  <c r="J39" i="16" s="1"/>
  <c r="AJ39" i="16"/>
  <c r="AK39" i="16" s="1"/>
  <c r="AL39" i="16" s="1"/>
  <c r="I40" i="10"/>
  <c r="AJ40" i="10"/>
  <c r="AK40" i="10" s="1"/>
  <c r="AL40" i="10" s="1"/>
  <c r="I39" i="5"/>
  <c r="AJ39" i="5"/>
  <c r="AK39" i="5" s="1"/>
  <c r="AL39" i="5" s="1"/>
  <c r="I38" i="8"/>
  <c r="AJ38" i="8"/>
  <c r="AK37" i="4"/>
  <c r="AL37" i="4" s="1"/>
  <c r="I38" i="4"/>
  <c r="AJ38" i="4"/>
  <c r="AK38" i="15"/>
  <c r="AL38" i="15" s="1"/>
  <c r="I39" i="15"/>
  <c r="J39" i="15" s="1"/>
  <c r="AJ39" i="15"/>
  <c r="I39" i="14"/>
  <c r="J39" i="14" s="1"/>
  <c r="AJ39" i="14"/>
  <c r="I38" i="12"/>
  <c r="J38" i="12" s="1"/>
  <c r="AJ38" i="12"/>
  <c r="AK38" i="12" s="1"/>
  <c r="AL38" i="12" s="1"/>
  <c r="I38" i="9"/>
  <c r="J38" i="9" s="1"/>
  <c r="AJ38" i="9"/>
  <c r="AK38" i="9" s="1"/>
  <c r="AL38" i="9" s="1"/>
  <c r="I39" i="7"/>
  <c r="AJ38" i="7"/>
  <c r="Y37" i="7"/>
  <c r="Y37" i="16"/>
  <c r="Y36" i="12"/>
  <c r="I38" i="1"/>
  <c r="H38" i="6"/>
  <c r="Y36" i="6"/>
  <c r="Y38" i="10"/>
  <c r="Y36" i="9"/>
  <c r="C40" i="16"/>
  <c r="B40" i="16"/>
  <c r="H40" i="16" s="1"/>
  <c r="A41" i="16"/>
  <c r="N39" i="16"/>
  <c r="K39" i="16"/>
  <c r="T37" i="16"/>
  <c r="U37" i="16"/>
  <c r="S38" i="16"/>
  <c r="W38" i="16"/>
  <c r="X38" i="16"/>
  <c r="U37" i="15"/>
  <c r="T37" i="15"/>
  <c r="B40" i="15"/>
  <c r="H40" i="15" s="1"/>
  <c r="A41" i="15"/>
  <c r="B41" i="15" s="1"/>
  <c r="C40" i="15"/>
  <c r="K39" i="15"/>
  <c r="N39" i="15"/>
  <c r="Y37" i="15"/>
  <c r="S38" i="15"/>
  <c r="X38" i="15"/>
  <c r="W38" i="15"/>
  <c r="Y37" i="14"/>
  <c r="W38" i="14"/>
  <c r="X38" i="14"/>
  <c r="S38" i="14"/>
  <c r="K39" i="14"/>
  <c r="N39" i="14"/>
  <c r="T37" i="14"/>
  <c r="U37" i="14"/>
  <c r="A41" i="14"/>
  <c r="C40" i="14"/>
  <c r="B40" i="14"/>
  <c r="H40" i="14" s="1"/>
  <c r="K38" i="12"/>
  <c r="N38" i="12"/>
  <c r="W37" i="12"/>
  <c r="X37" i="12"/>
  <c r="S37" i="12"/>
  <c r="J37" i="12"/>
  <c r="C39" i="12"/>
  <c r="A40" i="12"/>
  <c r="B39" i="12"/>
  <c r="U36" i="12"/>
  <c r="T36" i="12"/>
  <c r="S37" i="9"/>
  <c r="X37" i="9"/>
  <c r="W37" i="9"/>
  <c r="U36" i="9"/>
  <c r="T36" i="9"/>
  <c r="B39" i="9"/>
  <c r="H39" i="9" s="1"/>
  <c r="A40" i="9"/>
  <c r="C39" i="9"/>
  <c r="K38" i="9"/>
  <c r="N38" i="9"/>
  <c r="T36" i="1"/>
  <c r="U36" i="1"/>
  <c r="K38" i="1"/>
  <c r="N38" i="1"/>
  <c r="Y36" i="1"/>
  <c r="W37" i="1"/>
  <c r="X37" i="1"/>
  <c r="S37" i="1"/>
  <c r="J37" i="1"/>
  <c r="A40" i="1"/>
  <c r="C39" i="1"/>
  <c r="B39" i="1"/>
  <c r="H39" i="1" s="1"/>
  <c r="Y36" i="8"/>
  <c r="W37" i="8"/>
  <c r="X37" i="8"/>
  <c r="S37" i="8"/>
  <c r="U36" i="8"/>
  <c r="T36" i="8"/>
  <c r="J37" i="8"/>
  <c r="C39" i="8"/>
  <c r="B39" i="8"/>
  <c r="H39" i="8" s="1"/>
  <c r="A40" i="8"/>
  <c r="N38" i="8"/>
  <c r="K38" i="8"/>
  <c r="B40" i="7"/>
  <c r="H40" i="7" s="1"/>
  <c r="A41" i="7"/>
  <c r="C40" i="7"/>
  <c r="X38" i="7"/>
  <c r="W38" i="7"/>
  <c r="S38" i="7"/>
  <c r="T37" i="7"/>
  <c r="U37" i="7"/>
  <c r="K39" i="7"/>
  <c r="N39" i="7"/>
  <c r="K38" i="6"/>
  <c r="N38" i="6"/>
  <c r="A40" i="6"/>
  <c r="B39" i="6"/>
  <c r="C39" i="6"/>
  <c r="U36" i="6"/>
  <c r="T36" i="6"/>
  <c r="S37" i="6"/>
  <c r="X37" i="6"/>
  <c r="W37" i="6"/>
  <c r="T37" i="5"/>
  <c r="U37" i="5"/>
  <c r="Y37" i="5"/>
  <c r="K39" i="5"/>
  <c r="N39" i="5"/>
  <c r="S38" i="5"/>
  <c r="X38" i="5"/>
  <c r="W38" i="5"/>
  <c r="J38" i="5"/>
  <c r="A41" i="5"/>
  <c r="C40" i="5"/>
  <c r="B40" i="5"/>
  <c r="H40" i="5" s="1"/>
  <c r="U36" i="4"/>
  <c r="T36" i="4"/>
  <c r="Y36" i="4"/>
  <c r="S37" i="4"/>
  <c r="W37" i="4"/>
  <c r="X37" i="4"/>
  <c r="K38" i="4"/>
  <c r="N38" i="4"/>
  <c r="W39" i="10"/>
  <c r="S39" i="10"/>
  <c r="X39" i="10"/>
  <c r="T38" i="10"/>
  <c r="U38" i="10"/>
  <c r="C41" i="10"/>
  <c r="B41" i="10"/>
  <c r="H41" i="10" s="1"/>
  <c r="K40" i="10"/>
  <c r="N40" i="10"/>
  <c r="J44" i="4" l="1"/>
  <c r="AJ39" i="4"/>
  <c r="AK39" i="4" s="1"/>
  <c r="AL39" i="4" s="1"/>
  <c r="W39" i="4"/>
  <c r="S39" i="4"/>
  <c r="X39" i="4"/>
  <c r="AK38" i="4"/>
  <c r="AL38" i="4" s="1"/>
  <c r="AK39" i="14"/>
  <c r="AL39" i="14" s="1"/>
  <c r="AK38" i="8"/>
  <c r="AL38" i="8" s="1"/>
  <c r="I40" i="16"/>
  <c r="J40" i="16" s="1"/>
  <c r="AJ40" i="16"/>
  <c r="I38" i="6"/>
  <c r="J38" i="6" s="1"/>
  <c r="AJ38" i="6"/>
  <c r="AK38" i="6" s="1"/>
  <c r="AL38" i="6" s="1"/>
  <c r="I41" i="10"/>
  <c r="J41" i="10" s="1"/>
  <c r="AJ41" i="10"/>
  <c r="AK41" i="10"/>
  <c r="AL41" i="10" s="1"/>
  <c r="I39" i="1"/>
  <c r="J39" i="1" s="1"/>
  <c r="AJ39" i="1"/>
  <c r="AK39" i="1" s="1"/>
  <c r="I39" i="8"/>
  <c r="AJ39" i="8"/>
  <c r="I40" i="5"/>
  <c r="J40" i="5" s="1"/>
  <c r="AJ40" i="5"/>
  <c r="AK40" i="5" s="1"/>
  <c r="AL40" i="5" s="1"/>
  <c r="I40" i="15"/>
  <c r="J40" i="15" s="1"/>
  <c r="AJ40" i="15"/>
  <c r="AK40" i="15" s="1"/>
  <c r="AL40" i="15" s="1"/>
  <c r="AK39" i="15"/>
  <c r="AL39" i="15" s="1"/>
  <c r="I40" i="14"/>
  <c r="J40" i="14" s="1"/>
  <c r="AJ40" i="14"/>
  <c r="AK40" i="14" s="1"/>
  <c r="AL40" i="14" s="1"/>
  <c r="I39" i="9"/>
  <c r="J39" i="9" s="1"/>
  <c r="AJ39" i="9"/>
  <c r="I40" i="7"/>
  <c r="J40" i="7" s="1"/>
  <c r="AJ39" i="7"/>
  <c r="AK39" i="7" s="1"/>
  <c r="AL39" i="7" s="1"/>
  <c r="AK38" i="7"/>
  <c r="AL38" i="7" s="1"/>
  <c r="H39" i="12"/>
  <c r="H39" i="6"/>
  <c r="Y38" i="5"/>
  <c r="Y37" i="12"/>
  <c r="Y37" i="4"/>
  <c r="Y37" i="9"/>
  <c r="Y38" i="7"/>
  <c r="T38" i="16"/>
  <c r="U38" i="16"/>
  <c r="S39" i="16"/>
  <c r="X39" i="16"/>
  <c r="W39" i="16"/>
  <c r="Y38" i="16"/>
  <c r="C41" i="16"/>
  <c r="B41" i="16"/>
  <c r="H41" i="16" s="1"/>
  <c r="K40" i="16"/>
  <c r="N40" i="16"/>
  <c r="N40" i="15"/>
  <c r="J44" i="15" s="1"/>
  <c r="K40" i="15"/>
  <c r="W39" i="15"/>
  <c r="X39" i="15"/>
  <c r="S39" i="15"/>
  <c r="U38" i="15"/>
  <c r="T38" i="15"/>
  <c r="Y38" i="15"/>
  <c r="T38" i="14"/>
  <c r="U38" i="14"/>
  <c r="C41" i="14"/>
  <c r="B41" i="14"/>
  <c r="H41" i="14" s="1"/>
  <c r="Y38" i="14"/>
  <c r="K40" i="14"/>
  <c r="N40" i="14"/>
  <c r="W39" i="14"/>
  <c r="S39" i="14"/>
  <c r="X39" i="14"/>
  <c r="N39" i="12"/>
  <c r="K39" i="12"/>
  <c r="U37" i="12"/>
  <c r="T37" i="12"/>
  <c r="C40" i="12"/>
  <c r="B40" i="12"/>
  <c r="H40" i="12" s="1"/>
  <c r="A41" i="12"/>
  <c r="B41" i="12" s="1"/>
  <c r="X38" i="12"/>
  <c r="W38" i="12"/>
  <c r="S38" i="12"/>
  <c r="B40" i="9"/>
  <c r="H40" i="9" s="1"/>
  <c r="A41" i="9"/>
  <c r="C40" i="9"/>
  <c r="K39" i="9"/>
  <c r="N39" i="9"/>
  <c r="W38" i="9"/>
  <c r="X38" i="9"/>
  <c r="S38" i="9"/>
  <c r="U37" i="9"/>
  <c r="T37" i="9"/>
  <c r="A41" i="1"/>
  <c r="C40" i="1"/>
  <c r="B40" i="1"/>
  <c r="H40" i="1" s="1"/>
  <c r="Y37" i="1"/>
  <c r="S38" i="1"/>
  <c r="X38" i="1"/>
  <c r="W38" i="1"/>
  <c r="U37" i="1"/>
  <c r="T37" i="1"/>
  <c r="J38" i="1"/>
  <c r="N39" i="1"/>
  <c r="K39" i="1"/>
  <c r="W38" i="8"/>
  <c r="S38" i="8"/>
  <c r="X38" i="8"/>
  <c r="U37" i="8"/>
  <c r="T37" i="8"/>
  <c r="J38" i="8"/>
  <c r="C40" i="8"/>
  <c r="A41" i="8"/>
  <c r="B41" i="8" s="1"/>
  <c r="J41" i="8" s="1"/>
  <c r="B40" i="8"/>
  <c r="Y37" i="8"/>
  <c r="N39" i="8"/>
  <c r="K39" i="8"/>
  <c r="S39" i="7"/>
  <c r="W39" i="7"/>
  <c r="X39" i="7"/>
  <c r="J39" i="7"/>
  <c r="T38" i="7"/>
  <c r="U38" i="7"/>
  <c r="B41" i="7"/>
  <c r="C41" i="7"/>
  <c r="K40" i="7"/>
  <c r="N40" i="7"/>
  <c r="T37" i="6"/>
  <c r="U37" i="6"/>
  <c r="Y37" i="6"/>
  <c r="K39" i="6"/>
  <c r="N39" i="6"/>
  <c r="A41" i="6"/>
  <c r="B41" i="6" s="1"/>
  <c r="J41" i="6" s="1"/>
  <c r="C40" i="6"/>
  <c r="B40" i="6"/>
  <c r="H40" i="6" s="1"/>
  <c r="S38" i="6"/>
  <c r="X38" i="6"/>
  <c r="W38" i="6"/>
  <c r="T38" i="5"/>
  <c r="U38" i="5"/>
  <c r="W39" i="5"/>
  <c r="S39" i="5"/>
  <c r="X39" i="5"/>
  <c r="C41" i="5"/>
  <c r="B41" i="5"/>
  <c r="J39" i="5"/>
  <c r="K40" i="5"/>
  <c r="N40" i="5"/>
  <c r="E44" i="4"/>
  <c r="E45" i="4"/>
  <c r="C57" i="4"/>
  <c r="T37" i="4"/>
  <c r="U37" i="4"/>
  <c r="S38" i="4"/>
  <c r="X38" i="4"/>
  <c r="W38" i="4"/>
  <c r="J38" i="4"/>
  <c r="J40" i="10"/>
  <c r="W40" i="10"/>
  <c r="S40" i="10"/>
  <c r="X40" i="10"/>
  <c r="K41" i="10"/>
  <c r="C57" i="10" s="1"/>
  <c r="N41" i="10"/>
  <c r="J44" i="10" s="1"/>
  <c r="U39" i="10"/>
  <c r="T39" i="10"/>
  <c r="Y39" i="10"/>
  <c r="Y39" i="4" l="1"/>
  <c r="U39" i="4"/>
  <c r="T39" i="4"/>
  <c r="AK40" i="16"/>
  <c r="AL40" i="16" s="1"/>
  <c r="AL39" i="1"/>
  <c r="I41" i="16"/>
  <c r="J41" i="16" s="1"/>
  <c r="AJ41" i="16"/>
  <c r="I40" i="1"/>
  <c r="J40" i="1" s="1"/>
  <c r="AJ40" i="1"/>
  <c r="AK40" i="1" s="1"/>
  <c r="AL40" i="1" s="1"/>
  <c r="I39" i="6"/>
  <c r="J39" i="6" s="1"/>
  <c r="AJ39" i="6"/>
  <c r="AK39" i="6" s="1"/>
  <c r="AK39" i="8"/>
  <c r="AL39" i="8" s="1"/>
  <c r="I40" i="6"/>
  <c r="J40" i="6" s="1"/>
  <c r="AJ40" i="6"/>
  <c r="AK40" i="6" s="1"/>
  <c r="AL40" i="6" s="1"/>
  <c r="I41" i="14"/>
  <c r="J41" i="14" s="1"/>
  <c r="AJ41" i="14"/>
  <c r="AK41" i="14" s="1"/>
  <c r="I40" i="12"/>
  <c r="J40" i="12" s="1"/>
  <c r="AJ40" i="12"/>
  <c r="AK40" i="12" s="1"/>
  <c r="AL40" i="12" s="1"/>
  <c r="I39" i="12"/>
  <c r="J39" i="12" s="1"/>
  <c r="AJ39" i="12"/>
  <c r="I40" i="9"/>
  <c r="J40" i="9" s="1"/>
  <c r="AJ40" i="9"/>
  <c r="AK40" i="9" s="1"/>
  <c r="AL40" i="9" s="1"/>
  <c r="AK39" i="9"/>
  <c r="AL39" i="9" s="1"/>
  <c r="Y38" i="12"/>
  <c r="H40" i="8"/>
  <c r="H41" i="7"/>
  <c r="H41" i="5"/>
  <c r="Y38" i="6"/>
  <c r="Y39" i="15"/>
  <c r="Y39" i="5"/>
  <c r="Y39" i="7"/>
  <c r="Y38" i="1"/>
  <c r="Y39" i="14"/>
  <c r="U39" i="16"/>
  <c r="T39" i="16"/>
  <c r="X40" i="16"/>
  <c r="W40" i="16"/>
  <c r="S40" i="16"/>
  <c r="K41" i="16"/>
  <c r="N41" i="16"/>
  <c r="J44" i="16" s="1"/>
  <c r="Y39" i="16"/>
  <c r="C57" i="15"/>
  <c r="E44" i="15"/>
  <c r="E45" i="15"/>
  <c r="U39" i="15"/>
  <c r="T39" i="15"/>
  <c r="X40" i="15"/>
  <c r="W40" i="15"/>
  <c r="S40" i="15"/>
  <c r="K41" i="14"/>
  <c r="N41" i="14"/>
  <c r="J44" i="14" s="1"/>
  <c r="S40" i="14"/>
  <c r="X40" i="14"/>
  <c r="W40" i="14"/>
  <c r="U39" i="14"/>
  <c r="T39" i="14"/>
  <c r="K40" i="12"/>
  <c r="N40" i="12"/>
  <c r="J44" i="12" s="1"/>
  <c r="T38" i="12"/>
  <c r="U38" i="12"/>
  <c r="X39" i="12"/>
  <c r="S39" i="12"/>
  <c r="W39" i="12"/>
  <c r="Y38" i="9"/>
  <c r="S39" i="9"/>
  <c r="X39" i="9"/>
  <c r="W39" i="9"/>
  <c r="T38" i="9"/>
  <c r="U38" i="9"/>
  <c r="B41" i="9"/>
  <c r="H41" i="9" s="1"/>
  <c r="C41" i="9"/>
  <c r="K40" i="9"/>
  <c r="N40" i="9"/>
  <c r="X39" i="1"/>
  <c r="W39" i="1"/>
  <c r="S39" i="1"/>
  <c r="N40" i="1"/>
  <c r="K40" i="1"/>
  <c r="T38" i="1"/>
  <c r="U38" i="1"/>
  <c r="C41" i="1"/>
  <c r="B41" i="1"/>
  <c r="H41" i="1" s="1"/>
  <c r="S39" i="8"/>
  <c r="W39" i="8"/>
  <c r="X39" i="8"/>
  <c r="J39" i="8"/>
  <c r="U38" i="8"/>
  <c r="T38" i="8"/>
  <c r="K40" i="8"/>
  <c r="N40" i="8"/>
  <c r="J44" i="8" s="1"/>
  <c r="Y38" i="8"/>
  <c r="K41" i="7"/>
  <c r="N41" i="7"/>
  <c r="J44" i="7" s="1"/>
  <c r="S40" i="7"/>
  <c r="X40" i="7"/>
  <c r="W40" i="7"/>
  <c r="U39" i="7"/>
  <c r="T39" i="7"/>
  <c r="S39" i="6"/>
  <c r="W39" i="6"/>
  <c r="X39" i="6"/>
  <c r="U38" i="6"/>
  <c r="T38" i="6"/>
  <c r="N40" i="6"/>
  <c r="J44" i="6" s="1"/>
  <c r="K40" i="6"/>
  <c r="U39" i="5"/>
  <c r="T39" i="5"/>
  <c r="K41" i="5"/>
  <c r="N41" i="5"/>
  <c r="J44" i="5" s="1"/>
  <c r="W40" i="5"/>
  <c r="X40" i="5"/>
  <c r="S40" i="5"/>
  <c r="Y38" i="4"/>
  <c r="U38" i="4"/>
  <c r="T38" i="4"/>
  <c r="T42" i="4" s="1"/>
  <c r="S42" i="4"/>
  <c r="S43" i="4" s="1"/>
  <c r="W41" i="10"/>
  <c r="S41" i="10"/>
  <c r="X41" i="10"/>
  <c r="U40" i="10"/>
  <c r="T40" i="10"/>
  <c r="Y40" i="10"/>
  <c r="E44" i="10"/>
  <c r="E45" i="10"/>
  <c r="U42" i="4" l="1"/>
  <c r="AK41" i="16"/>
  <c r="AL41" i="16" s="1"/>
  <c r="AL39" i="6"/>
  <c r="I40" i="8"/>
  <c r="J40" i="8" s="1"/>
  <c r="AJ40" i="8"/>
  <c r="AK40" i="8" s="1"/>
  <c r="AL40" i="8" s="1"/>
  <c r="I41" i="1"/>
  <c r="AJ41" i="1"/>
  <c r="AK41" i="1" s="1"/>
  <c r="AL41" i="1" s="1"/>
  <c r="I41" i="5"/>
  <c r="J41" i="5" s="1"/>
  <c r="AJ41" i="5"/>
  <c r="AK41" i="5" s="1"/>
  <c r="AL41" i="5" s="1"/>
  <c r="AL41" i="14"/>
  <c r="AK39" i="12"/>
  <c r="AL39" i="12" s="1"/>
  <c r="I41" i="9"/>
  <c r="J41" i="9" s="1"/>
  <c r="AJ41" i="9"/>
  <c r="AK41" i="9" s="1"/>
  <c r="AL41" i="9" s="1"/>
  <c r="I41" i="7"/>
  <c r="J41" i="7" s="1"/>
  <c r="AJ40" i="7"/>
  <c r="AK40" i="7" s="1"/>
  <c r="AL40" i="7" s="1"/>
  <c r="Y40" i="15"/>
  <c r="X44" i="15" s="1"/>
  <c r="Y39" i="1"/>
  <c r="Y40" i="7"/>
  <c r="Y40" i="16"/>
  <c r="Y39" i="6"/>
  <c r="Y40" i="5"/>
  <c r="Y39" i="9"/>
  <c r="Y40" i="14"/>
  <c r="E44" i="16"/>
  <c r="C57" i="16"/>
  <c r="E45" i="16"/>
  <c r="X41" i="16"/>
  <c r="W41" i="16"/>
  <c r="S41" i="16"/>
  <c r="T40" i="16"/>
  <c r="U40" i="16"/>
  <c r="U40" i="15"/>
  <c r="U42" i="15" s="1"/>
  <c r="T40" i="15"/>
  <c r="T42" i="15" s="1"/>
  <c r="S42" i="15"/>
  <c r="S43" i="15" s="1"/>
  <c r="E44" i="14"/>
  <c r="E45" i="14"/>
  <c r="T40" i="14"/>
  <c r="U40" i="14"/>
  <c r="S41" i="14"/>
  <c r="W41" i="14"/>
  <c r="X41" i="14"/>
  <c r="U39" i="12"/>
  <c r="T39" i="12"/>
  <c r="E44" i="12"/>
  <c r="E45" i="12"/>
  <c r="C57" i="12"/>
  <c r="Y39" i="12"/>
  <c r="X40" i="12"/>
  <c r="W40" i="12"/>
  <c r="S40" i="12"/>
  <c r="K41" i="9"/>
  <c r="N41" i="9"/>
  <c r="J44" i="9" s="1"/>
  <c r="U39" i="9"/>
  <c r="T39" i="9"/>
  <c r="X40" i="9"/>
  <c r="S40" i="9"/>
  <c r="W40" i="9"/>
  <c r="X40" i="1"/>
  <c r="W40" i="1"/>
  <c r="S40" i="1"/>
  <c r="N41" i="1"/>
  <c r="J44" i="1" s="1"/>
  <c r="K41" i="1"/>
  <c r="T39" i="1"/>
  <c r="U39" i="1"/>
  <c r="S40" i="8"/>
  <c r="X40" i="8"/>
  <c r="W40" i="8"/>
  <c r="E44" i="8"/>
  <c r="E45" i="8"/>
  <c r="C57" i="8"/>
  <c r="Y39" i="8"/>
  <c r="U39" i="8"/>
  <c r="T39" i="8"/>
  <c r="U40" i="7"/>
  <c r="T40" i="7"/>
  <c r="E44" i="7"/>
  <c r="C57" i="7"/>
  <c r="E45" i="7"/>
  <c r="S41" i="7"/>
  <c r="X41" i="7"/>
  <c r="W41" i="7"/>
  <c r="X40" i="6"/>
  <c r="W40" i="6"/>
  <c r="S40" i="6"/>
  <c r="E45" i="6"/>
  <c r="C57" i="6"/>
  <c r="E44" i="6"/>
  <c r="T39" i="6"/>
  <c r="U39" i="6"/>
  <c r="T40" i="5"/>
  <c r="U40" i="5"/>
  <c r="E44" i="5"/>
  <c r="C57" i="5"/>
  <c r="E45" i="5"/>
  <c r="S41" i="5"/>
  <c r="W41" i="5"/>
  <c r="X41" i="5"/>
  <c r="X44" i="4"/>
  <c r="W44" i="4"/>
  <c r="T41" i="10"/>
  <c r="T42" i="10" s="1"/>
  <c r="U41" i="10"/>
  <c r="U42" i="10" s="1"/>
  <c r="S42" i="10"/>
  <c r="Y41" i="10"/>
  <c r="W44" i="15" l="1"/>
  <c r="Z44" i="15" s="1"/>
  <c r="AA44" i="15" s="1"/>
  <c r="Y41" i="7"/>
  <c r="X44" i="7" s="1"/>
  <c r="Y40" i="1"/>
  <c r="Y41" i="14"/>
  <c r="W44" i="14" s="1"/>
  <c r="Y40" i="9"/>
  <c r="Y40" i="8"/>
  <c r="W44" i="8" s="1"/>
  <c r="T41" i="16"/>
  <c r="T42" i="16" s="1"/>
  <c r="U41" i="16"/>
  <c r="U42" i="16" s="1"/>
  <c r="S42" i="16"/>
  <c r="S43" i="16" s="1"/>
  <c r="Y41" i="16"/>
  <c r="U41" i="14"/>
  <c r="U42" i="14" s="1"/>
  <c r="T41" i="14"/>
  <c r="T42" i="14" s="1"/>
  <c r="S42" i="14"/>
  <c r="S43" i="14" s="1"/>
  <c r="Y40" i="12"/>
  <c r="U40" i="12"/>
  <c r="U42" i="12" s="1"/>
  <c r="T40" i="12"/>
  <c r="T42" i="12" s="1"/>
  <c r="S42" i="12"/>
  <c r="S43" i="12" s="1"/>
  <c r="T40" i="9"/>
  <c r="U40" i="9"/>
  <c r="E44" i="9"/>
  <c r="E45" i="9"/>
  <c r="W41" i="9"/>
  <c r="X41" i="9"/>
  <c r="S41" i="9"/>
  <c r="S41" i="1"/>
  <c r="X41" i="1"/>
  <c r="W41" i="1"/>
  <c r="J41" i="1"/>
  <c r="T40" i="1"/>
  <c r="U40" i="1"/>
  <c r="E45" i="1"/>
  <c r="E44" i="1"/>
  <c r="U40" i="8"/>
  <c r="U42" i="8" s="1"/>
  <c r="T40" i="8"/>
  <c r="T42" i="8" s="1"/>
  <c r="S42" i="8"/>
  <c r="S43" i="8" s="1"/>
  <c r="T41" i="7"/>
  <c r="T42" i="7" s="1"/>
  <c r="U41" i="7"/>
  <c r="U42" i="7" s="1"/>
  <c r="S42" i="7"/>
  <c r="S43" i="7" s="1"/>
  <c r="T40" i="6"/>
  <c r="T42" i="6" s="1"/>
  <c r="U40" i="6"/>
  <c r="U42" i="6" s="1"/>
  <c r="S42" i="6"/>
  <c r="S43" i="6" s="1"/>
  <c r="Y40" i="6"/>
  <c r="Y41" i="5"/>
  <c r="T41" i="5"/>
  <c r="T42" i="5" s="1"/>
  <c r="U41" i="5"/>
  <c r="U42" i="5" s="1"/>
  <c r="S42" i="5"/>
  <c r="S43" i="5" s="1"/>
  <c r="Z44" i="4"/>
  <c r="AA44" i="4" s="1"/>
  <c r="W44" i="10"/>
  <c r="X44" i="10"/>
  <c r="X44" i="14" l="1"/>
  <c r="Z44" i="14" s="1"/>
  <c r="AA44" i="14" s="1"/>
  <c r="W44" i="7"/>
  <c r="Z44" i="7" s="1"/>
  <c r="AA44" i="7" s="1"/>
  <c r="X44" i="8"/>
  <c r="Z44" i="8" s="1"/>
  <c r="AA44" i="8" s="1"/>
  <c r="W44" i="16"/>
  <c r="X44" i="16"/>
  <c r="AB44" i="15"/>
  <c r="AC44" i="15" s="1"/>
  <c r="AD44" i="15" s="1"/>
  <c r="W44" i="12"/>
  <c r="X44" i="12"/>
  <c r="U41" i="9"/>
  <c r="U42" i="9" s="1"/>
  <c r="T41" i="9"/>
  <c r="T42" i="9" s="1"/>
  <c r="S42" i="9"/>
  <c r="S43" i="9" s="1"/>
  <c r="Y41" i="9"/>
  <c r="Y41" i="1"/>
  <c r="U41" i="1"/>
  <c r="U42" i="1" s="1"/>
  <c r="T41" i="1"/>
  <c r="T42" i="1" s="1"/>
  <c r="S42" i="1"/>
  <c r="S43" i="1" s="1"/>
  <c r="X44" i="6"/>
  <c r="W44" i="6"/>
  <c r="W44" i="5"/>
  <c r="X44" i="5"/>
  <c r="AB44" i="4"/>
  <c r="AC44" i="4" s="1"/>
  <c r="AD44" i="4" s="1"/>
  <c r="Z44" i="10"/>
  <c r="AA44" i="10" s="1"/>
  <c r="AB44" i="10" s="1"/>
  <c r="Z44" i="16" l="1"/>
  <c r="AA44" i="16" s="1"/>
  <c r="AB44" i="16" s="1"/>
  <c r="J45" i="15"/>
  <c r="E51" i="15" s="1"/>
  <c r="AB44" i="14"/>
  <c r="AC44" i="14" s="1"/>
  <c r="AD44" i="14" s="1"/>
  <c r="Z44" i="12"/>
  <c r="AA44" i="12" s="1"/>
  <c r="W44" i="9"/>
  <c r="X44" i="9"/>
  <c r="W44" i="1"/>
  <c r="X44" i="1"/>
  <c r="AB44" i="8"/>
  <c r="AC44" i="8" s="1"/>
  <c r="AD44" i="8" s="1"/>
  <c r="AB44" i="7"/>
  <c r="AC44" i="7" s="1"/>
  <c r="AD44" i="7" s="1"/>
  <c r="Z44" i="6"/>
  <c r="AA44" i="6" s="1"/>
  <c r="Z44" i="5"/>
  <c r="AA44" i="5" s="1"/>
  <c r="J45" i="4"/>
  <c r="AC44" i="10"/>
  <c r="J45" i="10" s="1"/>
  <c r="E51" i="10" s="1"/>
  <c r="E51" i="4" l="1"/>
  <c r="J51" i="4" s="1"/>
  <c r="E49" i="4"/>
  <c r="AD44" i="10"/>
  <c r="AC44" i="16"/>
  <c r="AD44" i="16" s="1"/>
  <c r="E49" i="15"/>
  <c r="J51" i="15"/>
  <c r="J45" i="14"/>
  <c r="E51" i="14" s="1"/>
  <c r="AB44" i="12"/>
  <c r="AC44" i="12" s="1"/>
  <c r="AD44" i="12" s="1"/>
  <c r="Z44" i="9"/>
  <c r="AA44" i="9" s="1"/>
  <c r="Z44" i="1"/>
  <c r="AA44" i="1" s="1"/>
  <c r="J45" i="8"/>
  <c r="E51" i="8" s="1"/>
  <c r="J45" i="7"/>
  <c r="E51" i="7" s="1"/>
  <c r="AB44" i="6"/>
  <c r="AC44" i="6" s="1"/>
  <c r="AD44" i="6" s="1"/>
  <c r="AB44" i="5"/>
  <c r="AC44" i="5" s="1"/>
  <c r="AD44" i="5" s="1"/>
  <c r="E49" i="10"/>
  <c r="J51" i="10"/>
  <c r="J54" i="10" s="1"/>
  <c r="E54" i="4" s="1"/>
  <c r="J45" i="16" l="1"/>
  <c r="J51" i="14"/>
  <c r="E49" i="14"/>
  <c r="J45" i="12"/>
  <c r="E51" i="12" s="1"/>
  <c r="AB44" i="9"/>
  <c r="AC44" i="9" s="1"/>
  <c r="AD44" i="9" s="1"/>
  <c r="AB44" i="1"/>
  <c r="AC44" i="1" s="1"/>
  <c r="AD44" i="1" s="1"/>
  <c r="J51" i="8"/>
  <c r="E49" i="8"/>
  <c r="E49" i="7"/>
  <c r="J51" i="7"/>
  <c r="J45" i="6"/>
  <c r="E51" i="6" s="1"/>
  <c r="J45" i="5"/>
  <c r="E51" i="5" s="1"/>
  <c r="J51" i="5" s="1"/>
  <c r="E49" i="16" l="1"/>
  <c r="E51" i="16"/>
  <c r="J51" i="16" s="1"/>
  <c r="J54" i="4"/>
  <c r="E54" i="5" s="1"/>
  <c r="E49" i="12"/>
  <c r="J51" i="12"/>
  <c r="J45" i="9"/>
  <c r="E51" i="9" s="1"/>
  <c r="J45" i="1"/>
  <c r="E51" i="1" s="1"/>
  <c r="J51" i="6"/>
  <c r="E49" i="6"/>
  <c r="E49" i="5"/>
  <c r="J54" i="5" l="1"/>
  <c r="E54" i="6" s="1"/>
  <c r="J54" i="6" s="1"/>
  <c r="E54" i="7" s="1"/>
  <c r="J54" i="7" s="1"/>
  <c r="J51" i="9"/>
  <c r="E49" i="9"/>
  <c r="J51" i="1"/>
  <c r="E49" i="1"/>
  <c r="E54" i="8" l="1"/>
  <c r="J54" i="8" s="1"/>
  <c r="E54" i="1" l="1"/>
  <c r="J54" i="1" l="1"/>
  <c r="E54" i="9" s="1"/>
  <c r="J54" i="9" s="1"/>
  <c r="E54" i="12" s="1"/>
  <c r="J54" i="12" s="1"/>
  <c r="E54" i="14" s="1"/>
  <c r="J54" i="14" l="1"/>
  <c r="E54" i="15" l="1"/>
  <c r="J54" i="15" s="1"/>
  <c r="E54" i="16" l="1"/>
  <c r="J54" i="16" s="1"/>
</calcChain>
</file>

<file path=xl/sharedStrings.xml><?xml version="1.0" encoding="utf-8"?>
<sst xmlns="http://schemas.openxmlformats.org/spreadsheetml/2006/main" count="1139" uniqueCount="160">
  <si>
    <t>Miesiąc</t>
  </si>
  <si>
    <t>Rok</t>
  </si>
  <si>
    <t>Godziny</t>
  </si>
  <si>
    <t>dzień wolny ustawowo</t>
  </si>
  <si>
    <t>Imię i Nazwisko</t>
  </si>
  <si>
    <t>Liczba godzin</t>
  </si>
  <si>
    <t>na tydzień</t>
  </si>
  <si>
    <t>u</t>
  </si>
  <si>
    <t>urlop</t>
  </si>
  <si>
    <t>choroba</t>
  </si>
  <si>
    <t>g</t>
  </si>
  <si>
    <t>Telefon</t>
  </si>
  <si>
    <t>Przerwy</t>
  </si>
  <si>
    <t>&gt;8,0 godz.</t>
  </si>
  <si>
    <t>s</t>
  </si>
  <si>
    <t>urlop specjalny/okolicznościow</t>
  </si>
  <si>
    <t>&lt;8,0 godz.</t>
  </si>
  <si>
    <t>Czas graniczny</t>
  </si>
  <si>
    <t>godzin</t>
  </si>
  <si>
    <t>a</t>
  </si>
  <si>
    <t>nieobecny</t>
  </si>
  <si>
    <t>od</t>
  </si>
  <si>
    <t>do</t>
  </si>
  <si>
    <t>Data</t>
  </si>
  <si>
    <t>Rodzaj</t>
  </si>
  <si>
    <t>Początek</t>
  </si>
  <si>
    <t>Koniec</t>
  </si>
  <si>
    <t>Suma</t>
  </si>
  <si>
    <t>Minuty</t>
  </si>
  <si>
    <t>Przerwy [min]</t>
  </si>
  <si>
    <t>Liczba dni roboczych</t>
  </si>
  <si>
    <t>dni</t>
  </si>
  <si>
    <t>Dni przepracowane</t>
  </si>
  <si>
    <t>Liczba godz. robocz.</t>
  </si>
  <si>
    <t>godz.</t>
  </si>
  <si>
    <t>Godziny przepracowane</t>
  </si>
  <si>
    <t>Zapłacone dni wolne</t>
  </si>
  <si>
    <t xml:space="preserve"> urlop/choroba....</t>
  </si>
  <si>
    <t>Płatne nadgodziny</t>
  </si>
  <si>
    <t>Różnica</t>
  </si>
  <si>
    <t xml:space="preserve">       ========</t>
  </si>
  <si>
    <t xml:space="preserve">       ====</t>
  </si>
  <si>
    <t>Saldo godzin z po-</t>
  </si>
  <si>
    <t>przedniego miesiąca</t>
  </si>
  <si>
    <t>Suma końcowa</t>
  </si>
  <si>
    <t>Godziny pracy za</t>
  </si>
  <si>
    <t>Nr ID komputrera</t>
  </si>
  <si>
    <t>w</t>
  </si>
  <si>
    <t>test</t>
  </si>
  <si>
    <t>Dziennie
minut ponad normalny czas pracy</t>
  </si>
  <si>
    <t>Dziennie minut poniżej normalnego czasu pracy</t>
  </si>
  <si>
    <t>poprzedniego miesiąca</t>
  </si>
  <si>
    <t xml:space="preserve">Saldo godzin z </t>
  </si>
  <si>
    <t>Różnica (rob-efekt)</t>
  </si>
  <si>
    <t>Przerwy powyżej regulaminowej [min]</t>
  </si>
  <si>
    <t>op</t>
  </si>
  <si>
    <t>opieka nad zdrowym dzieckiem</t>
  </si>
  <si>
    <t>oc</t>
  </si>
  <si>
    <t>opieka nad chorym dzieckiem</t>
  </si>
  <si>
    <t>um</t>
  </si>
  <si>
    <t>urlop macierzyński</t>
  </si>
  <si>
    <t>Saldo godzin (przep-rob)</t>
  </si>
  <si>
    <t>c</t>
  </si>
  <si>
    <t>Dzisiejsza data</t>
  </si>
  <si>
    <t>Dni w roku</t>
  </si>
  <si>
    <t>Dni ustawowo wolnych w roku</t>
  </si>
  <si>
    <t>Dni chorobowych</t>
  </si>
  <si>
    <t>Dni wybranych z nadgodzin</t>
  </si>
  <si>
    <t>Dni urlopu specjalnego/okolicznosciowego</t>
  </si>
  <si>
    <t>Dni opieki nad zdrowym dzieckiem</t>
  </si>
  <si>
    <t>Dni urlopu macierzyńskiego</t>
  </si>
  <si>
    <t>Ilość godzin przepracowanych w wolne dni od pracy lub święta</t>
  </si>
  <si>
    <t>Ilość dni przepracowanych w wolne dni od pracy lub święta</t>
  </si>
  <si>
    <t>Ilość godzin przepracowanych w dni pracujące</t>
  </si>
  <si>
    <t>Ilość dni przepracowanych w dni pracujące</t>
  </si>
  <si>
    <t>Ilość godzin pozostałych do wypracowania w tym roku</t>
  </si>
  <si>
    <t>Sprawdzanie od dnia 
rrrr-mm-dd</t>
  </si>
  <si>
    <t xml:space="preserve">Dni opieki nad chorym dzieckiem </t>
  </si>
  <si>
    <t>Ilość wszystkich godzin przepracowanych</t>
  </si>
  <si>
    <t>dzień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</si>
  <si>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</si>
  <si>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</si>
  <si>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</si>
  <si>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</si>
  <si>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</si>
  <si>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</si>
  <si>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</si>
  <si>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</si>
  <si>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</si>
  <si>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</si>
  <si>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</si>
  <si>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</si>
  <si>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p</t>
  </si>
  <si>
    <t>uz</t>
  </si>
  <si>
    <t>urlop zaplanowany</t>
  </si>
  <si>
    <t>dzien wolny przepracowny</t>
  </si>
  <si>
    <t>dzień pracujący</t>
  </si>
  <si>
    <t>dzień wybrany z godzin</t>
  </si>
  <si>
    <t>Dni urlopu zaplanowanego</t>
  </si>
  <si>
    <t>Dni urlopu wziętych</t>
  </si>
  <si>
    <t>kod</t>
  </si>
  <si>
    <t>Uwagi</t>
  </si>
  <si>
    <t>Państwa</t>
  </si>
  <si>
    <t>Polska</t>
  </si>
  <si>
    <t>Niemcy</t>
  </si>
  <si>
    <t>Państwo</t>
  </si>
  <si>
    <t>Szwecja</t>
  </si>
  <si>
    <t>Francja</t>
  </si>
  <si>
    <t>Turcja</t>
  </si>
  <si>
    <t>Meksyk</t>
  </si>
  <si>
    <t>Czechy</t>
  </si>
  <si>
    <t>Skrót</t>
  </si>
  <si>
    <t>PL</t>
  </si>
  <si>
    <t>DE</t>
  </si>
  <si>
    <t>SE</t>
  </si>
  <si>
    <t>FR</t>
  </si>
  <si>
    <t>TR</t>
  </si>
  <si>
    <t>MX</t>
  </si>
  <si>
    <t>CZ</t>
  </si>
  <si>
    <t>Dni nieobecnych nieusprawiedliwionych do odpracowania / zerówki</t>
  </si>
  <si>
    <t>Ilość godzin przepracowanych</t>
  </si>
  <si>
    <t>Ilość dni przepracownych</t>
  </si>
  <si>
    <t>Ilość dni przebytych w Państwie</t>
  </si>
  <si>
    <t>Belgia</t>
  </si>
  <si>
    <t>Austria</t>
  </si>
  <si>
    <t>Hiszpania</t>
  </si>
  <si>
    <t>Słowacja</t>
  </si>
  <si>
    <t>BE</t>
  </si>
  <si>
    <t>AT</t>
  </si>
  <si>
    <t>ES</t>
  </si>
  <si>
    <t>SK</t>
  </si>
  <si>
    <t>Ilość dni pozostałego  urlopu</t>
  </si>
  <si>
    <t>Suma [h,min]</t>
  </si>
  <si>
    <t>godz.,min.</t>
  </si>
  <si>
    <t>Godz. efekt.</t>
  </si>
  <si>
    <t>Czas przepracowany</t>
  </si>
  <si>
    <t>(godz.,min.)</t>
  </si>
  <si>
    <t>Godziny [h,min]</t>
  </si>
  <si>
    <t>minuty z godzin</t>
  </si>
  <si>
    <t>minuty z minut</t>
  </si>
  <si>
    <t>suma minut</t>
  </si>
  <si>
    <t>USA</t>
  </si>
  <si>
    <t>gp</t>
  </si>
  <si>
    <t xml:space="preserve">godz.(rządanie pracownika) </t>
  </si>
  <si>
    <t xml:space="preserve">godz.(rządanie pracodawcy) </t>
  </si>
  <si>
    <t>uś</t>
  </si>
  <si>
    <t>urlop przysługujacy ze świąt wypadających w dni wolne</t>
  </si>
  <si>
    <t>Wypłacone nadgodziny</t>
  </si>
  <si>
    <t>Zapł. godz. nieprzeprac.-nadgodz.</t>
  </si>
  <si>
    <t>h.,min.</t>
  </si>
  <si>
    <t>Holandia</t>
  </si>
  <si>
    <t>NL</t>
  </si>
  <si>
    <t>Godzina wejścia w dziesiętnych</t>
  </si>
  <si>
    <t>Godzina wyjścia w dziesiętnych</t>
  </si>
  <si>
    <t>Czas pracy w dziesiętnych</t>
  </si>
  <si>
    <t>ilość dni ze świąt wypadających w soboty na rok 2024 (wpisz ręcznie)</t>
  </si>
  <si>
    <t>Paweł</t>
  </si>
  <si>
    <t>Bogusław Konefał</t>
  </si>
  <si>
    <t>2026</t>
  </si>
  <si>
    <t>Ilość dni urlopu z poprzedniego roku (wpisz ręcznie)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</si>
</sst>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\ mmm"/>
    <numFmt numFmtId="165" formatCode=";;;"/>
  </numFmts>
  <fonts count="36" x14ac:knownFonts="1">
    <font>
      <sz val="11"/>
      <color theme="1"/>
      <name val="Calibri"/>
      <family val="2"/>
      <charset val="238"/>
      <scheme val="minor"/>
    </font>
    <font>
      <sz val="10"/>
      <name val="Helv"/>
    </font>
    <font>
      <sz val="10"/>
      <color indexed="9"/>
      <name val="Helv"/>
    </font>
    <font>
      <b/>
      <sz val="10"/>
      <name val="Helv"/>
      <charset val="238"/>
    </font>
    <font>
      <b/>
      <sz val="18"/>
      <color indexed="8"/>
      <name val="Arial"/>
      <family val="2"/>
    </font>
    <font>
      <sz val="8"/>
      <color indexed="8"/>
      <name val="Arial"/>
      <family val="2"/>
    </font>
    <font>
      <b/>
      <sz val="8"/>
      <color indexed="12"/>
      <name val="Arial"/>
      <family val="2"/>
    </font>
    <font>
      <sz val="10"/>
      <name val="Arial"/>
      <family val="2"/>
    </font>
    <font>
      <sz val="6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6"/>
      <color indexed="12"/>
      <name val="Arial"/>
      <family val="2"/>
    </font>
    <font>
      <sz val="11"/>
      <color theme="1"/>
      <name val="Arial"/>
      <family val="2"/>
    </font>
    <font>
      <sz val="8"/>
      <color indexed="12"/>
      <name val="Arial"/>
      <family val="2"/>
    </font>
    <font>
      <sz val="18"/>
      <color indexed="8"/>
      <name val="Arial"/>
      <family val="2"/>
    </font>
    <font>
      <b/>
      <u/>
      <sz val="16"/>
      <color indexed="8"/>
      <name val="Arial"/>
      <family val="2"/>
    </font>
    <font>
      <u/>
      <sz val="18"/>
      <color indexed="8"/>
      <name val="Arial"/>
      <family val="2"/>
    </font>
    <font>
      <sz val="10"/>
      <color indexed="9"/>
      <name val="Arial"/>
      <family val="2"/>
    </font>
    <font>
      <sz val="6"/>
      <color indexed="9"/>
      <name val="Arial"/>
      <family val="2"/>
    </font>
    <font>
      <b/>
      <sz val="10"/>
      <color indexed="1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8"/>
      <color rgb="FFF3343B"/>
      <name val="Arial"/>
      <family val="2"/>
    </font>
    <font>
      <sz val="10"/>
      <color rgb="FFF3343B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2"/>
      <color indexed="12"/>
      <name val="Arial"/>
      <family val="2"/>
    </font>
    <font>
      <sz val="12"/>
      <color indexed="12"/>
      <name val="Arial"/>
      <family val="2"/>
    </font>
    <font>
      <i/>
      <sz val="12"/>
      <color indexed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0"/>
      <color rgb="FF0070C0"/>
      <name val="Arial"/>
      <family val="2"/>
      <charset val="238"/>
    </font>
    <font>
      <sz val="10"/>
      <color theme="0"/>
      <name val="Arial"/>
      <family val="2"/>
    </font>
    <font>
      <b/>
      <i/>
      <sz val="9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solid">
        <fgColor indexed="9"/>
      </patternFill>
    </fill>
    <fill>
      <patternFill patternType="darkGray">
        <fgColor indexed="9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darkGray">
        <fgColor indexed="9"/>
        <bgColor theme="4" tint="0.59996337778862885"/>
      </patternFill>
    </fill>
    <fill>
      <patternFill patternType="solid">
        <fgColor rgb="FFFFFFCC"/>
        <bgColor indexed="9"/>
      </patternFill>
    </fill>
    <fill>
      <patternFill patternType="solid">
        <fgColor rgb="FFFFFFCC"/>
        <bgColor theme="5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2" borderId="0" applyNumberFormat="0" applyFont="0" applyFill="0" applyBorder="0" applyAlignment="0" applyProtection="0">
      <protection hidden="1"/>
    </xf>
  </cellStyleXfs>
  <cellXfs count="177">
    <xf numFmtId="0" fontId="0" fillId="0" borderId="0" xfId="0"/>
    <xf numFmtId="0" fontId="1" fillId="2" borderId="0" xfId="1" applyProtection="1"/>
    <xf numFmtId="165" fontId="2" fillId="2" borderId="0" xfId="1" applyNumberFormat="1" applyFont="1" applyProtection="1">
      <protection hidden="1"/>
    </xf>
    <xf numFmtId="165" fontId="2" fillId="2" borderId="0" xfId="1" applyNumberFormat="1" applyFont="1" applyBorder="1" applyProtection="1">
      <protection hidden="1"/>
    </xf>
    <xf numFmtId="165" fontId="2" fillId="3" borderId="0" xfId="1" applyNumberFormat="1" applyFont="1" applyFill="1" applyProtection="1">
      <protection hidden="1"/>
    </xf>
    <xf numFmtId="165" fontId="3" fillId="2" borderId="0" xfId="1" applyNumberFormat="1" applyFont="1" applyProtection="1">
      <protection hidden="1"/>
    </xf>
    <xf numFmtId="165" fontId="0" fillId="0" borderId="0" xfId="0" applyNumberFormat="1"/>
    <xf numFmtId="0" fontId="4" fillId="2" borderId="0" xfId="1" applyFont="1" applyBorder="1" applyProtection="1">
      <protection hidden="1"/>
    </xf>
    <xf numFmtId="0" fontId="7" fillId="2" borderId="0" xfId="1" applyFont="1" applyProtection="1"/>
    <xf numFmtId="0" fontId="9" fillId="2" borderId="0" xfId="1" applyFont="1" applyAlignment="1" applyProtection="1">
      <alignment horizontal="center"/>
      <protection hidden="1"/>
    </xf>
    <xf numFmtId="0" fontId="9" fillId="2" borderId="0" xfId="1" applyFont="1" applyProtection="1">
      <protection hidden="1"/>
    </xf>
    <xf numFmtId="0" fontId="10" fillId="2" borderId="8" xfId="1" applyFont="1" applyBorder="1" applyAlignment="1" applyProtection="1">
      <alignment horizontal="right"/>
    </xf>
    <xf numFmtId="0" fontId="10" fillId="2" borderId="1" xfId="1" applyFont="1" applyBorder="1" applyProtection="1">
      <protection hidden="1"/>
    </xf>
    <xf numFmtId="0" fontId="9" fillId="2" borderId="1" xfId="1" applyFont="1" applyBorder="1" applyProtection="1">
      <protection hidden="1"/>
    </xf>
    <xf numFmtId="0" fontId="5" fillId="2" borderId="2" xfId="1" applyFont="1" applyBorder="1" applyAlignment="1" applyProtection="1">
      <alignment horizontal="center"/>
      <protection hidden="1"/>
    </xf>
    <xf numFmtId="0" fontId="10" fillId="2" borderId="4" xfId="1" applyFont="1" applyBorder="1" applyAlignment="1" applyProtection="1">
      <alignment horizontal="right"/>
    </xf>
    <xf numFmtId="0" fontId="5" fillId="4" borderId="0" xfId="1" applyFont="1" applyFill="1" applyBorder="1" applyProtection="1">
      <protection hidden="1"/>
    </xf>
    <xf numFmtId="0" fontId="5" fillId="2" borderId="0" xfId="1" applyFont="1" applyFill="1" applyBorder="1" applyProtection="1">
      <protection hidden="1"/>
    </xf>
    <xf numFmtId="0" fontId="10" fillId="2" borderId="0" xfId="1" applyFont="1" applyBorder="1" applyAlignment="1" applyProtection="1">
      <protection hidden="1"/>
    </xf>
    <xf numFmtId="0" fontId="5" fillId="2" borderId="0" xfId="1" applyFont="1" applyFill="1" applyBorder="1" applyAlignment="1" applyProtection="1">
      <alignment horizontal="center"/>
      <protection hidden="1"/>
    </xf>
    <xf numFmtId="0" fontId="10" fillId="2" borderId="0" xfId="1" applyFont="1" applyBorder="1" applyProtection="1">
      <protection hidden="1"/>
    </xf>
    <xf numFmtId="0" fontId="9" fillId="2" borderId="0" xfId="1" applyFont="1" applyBorder="1" applyProtection="1">
      <protection hidden="1"/>
    </xf>
    <xf numFmtId="0" fontId="5" fillId="2" borderId="3" xfId="1" applyFont="1" applyBorder="1" applyAlignment="1" applyProtection="1">
      <alignment horizontal="center"/>
      <protection hidden="1"/>
    </xf>
    <xf numFmtId="0" fontId="10" fillId="2" borderId="0" xfId="1" applyFont="1" applyBorder="1" applyAlignment="1" applyProtection="1">
      <alignment horizontal="right"/>
    </xf>
    <xf numFmtId="0" fontId="12" fillId="0" borderId="0" xfId="0" applyFont="1"/>
    <xf numFmtId="0" fontId="12" fillId="7" borderId="0" xfId="0" applyFont="1" applyFill="1"/>
    <xf numFmtId="0" fontId="11" fillId="4" borderId="0" xfId="1" applyFont="1" applyFill="1" applyBorder="1" applyAlignment="1" applyProtection="1">
      <alignment horizontal="left"/>
      <protection hidden="1"/>
    </xf>
    <xf numFmtId="0" fontId="13" fillId="2" borderId="0" xfId="1" applyNumberFormat="1" applyFont="1" applyFill="1" applyBorder="1" applyAlignment="1" applyProtection="1">
      <alignment horizontal="left"/>
      <protection hidden="1"/>
    </xf>
    <xf numFmtId="0" fontId="10" fillId="2" borderId="0" xfId="1" applyFont="1" applyBorder="1" applyAlignment="1" applyProtection="1">
      <alignment horizontal="right"/>
      <protection hidden="1"/>
    </xf>
    <xf numFmtId="0" fontId="10" fillId="2" borderId="0" xfId="1" applyNumberFormat="1" applyFont="1" applyBorder="1" applyProtection="1">
      <protection hidden="1"/>
    </xf>
    <xf numFmtId="0" fontId="9" fillId="2" borderId="3" xfId="1" applyFont="1" applyBorder="1" applyProtection="1">
      <protection hidden="1"/>
    </xf>
    <xf numFmtId="0" fontId="6" fillId="4" borderId="0" xfId="1" applyFont="1" applyFill="1" applyBorder="1" applyAlignment="1" applyProtection="1">
      <alignment horizontal="left"/>
      <protection locked="0"/>
    </xf>
    <xf numFmtId="0" fontId="8" fillId="2" borderId="0" xfId="1" applyFont="1" applyFill="1" applyBorder="1" applyProtection="1">
      <protection hidden="1"/>
    </xf>
    <xf numFmtId="0" fontId="5" fillId="2" borderId="0" xfId="1" applyFont="1" applyFill="1" applyBorder="1" applyAlignment="1" applyProtection="1">
      <alignment horizontal="left"/>
      <protection hidden="1"/>
    </xf>
    <xf numFmtId="0" fontId="5" fillId="2" borderId="4" xfId="1" applyFont="1" applyFill="1" applyBorder="1" applyAlignment="1" applyProtection="1">
      <alignment horizontal="left"/>
      <protection hidden="1"/>
    </xf>
    <xf numFmtId="0" fontId="5" fillId="2" borderId="0" xfId="1" applyNumberFormat="1" applyFont="1" applyFill="1" applyBorder="1" applyAlignment="1" applyProtection="1">
      <alignment horizontal="left"/>
      <protection hidden="1"/>
    </xf>
    <xf numFmtId="0" fontId="14" fillId="2" borderId="0" xfId="1" applyFont="1" applyBorder="1" applyProtection="1">
      <protection hidden="1"/>
    </xf>
    <xf numFmtId="0" fontId="15" fillId="2" borderId="0" xfId="1" applyFont="1" applyBorder="1" applyAlignment="1" applyProtection="1">
      <alignment horizontal="right"/>
      <protection hidden="1"/>
    </xf>
    <xf numFmtId="17" fontId="15" fillId="2" borderId="0" xfId="1" applyNumberFormat="1" applyFont="1" applyBorder="1" applyAlignment="1" applyProtection="1">
      <alignment horizontal="left"/>
      <protection hidden="1"/>
    </xf>
    <xf numFmtId="0" fontId="16" fillId="2" borderId="0" xfId="1" applyFont="1" applyBorder="1" applyAlignment="1" applyProtection="1">
      <alignment horizontal="center"/>
      <protection hidden="1"/>
    </xf>
    <xf numFmtId="0" fontId="14" fillId="2" borderId="3" xfId="1" applyFont="1" applyBorder="1" applyProtection="1">
      <protection hidden="1"/>
    </xf>
    <xf numFmtId="0" fontId="14" fillId="2" borderId="0" xfId="1" applyFont="1" applyAlignment="1" applyProtection="1">
      <alignment horizontal="center"/>
      <protection hidden="1"/>
    </xf>
    <xf numFmtId="0" fontId="14" fillId="2" borderId="0" xfId="1" applyFont="1" applyProtection="1">
      <protection hidden="1"/>
    </xf>
    <xf numFmtId="0" fontId="5" fillId="2" borderId="4" xfId="1" applyFont="1" applyBorder="1" applyAlignment="1" applyProtection="1">
      <alignment horizontal="right"/>
      <protection hidden="1"/>
    </xf>
    <xf numFmtId="0" fontId="5" fillId="2" borderId="0" xfId="1" applyFont="1" applyBorder="1" applyAlignment="1" applyProtection="1">
      <alignment horizontal="center"/>
      <protection hidden="1"/>
    </xf>
    <xf numFmtId="164" fontId="5" fillId="2" borderId="0" xfId="1" applyNumberFormat="1" applyFont="1" applyBorder="1" applyAlignment="1" applyProtection="1">
      <alignment horizontal="center"/>
      <protection hidden="1"/>
    </xf>
    <xf numFmtId="164" fontId="5" fillId="2" borderId="0" xfId="1" applyNumberFormat="1" applyFont="1" applyBorder="1" applyAlignment="1" applyProtection="1">
      <alignment horizontal="left"/>
      <protection hidden="1"/>
    </xf>
    <xf numFmtId="0" fontId="5" fillId="2" borderId="0" xfId="1" applyFont="1" applyBorder="1" applyProtection="1">
      <protection hidden="1"/>
    </xf>
    <xf numFmtId="0" fontId="5" fillId="2" borderId="0" xfId="1" applyFont="1" applyAlignment="1" applyProtection="1">
      <alignment horizontal="center"/>
      <protection hidden="1"/>
    </xf>
    <xf numFmtId="0" fontId="5" fillId="2" borderId="0" xfId="1" applyFont="1" applyProtection="1">
      <protection hidden="1"/>
    </xf>
    <xf numFmtId="0" fontId="10" fillId="5" borderId="14" xfId="1" applyFont="1" applyFill="1" applyBorder="1" applyAlignment="1" applyProtection="1">
      <alignment horizontal="left"/>
      <protection hidden="1"/>
    </xf>
    <xf numFmtId="0" fontId="10" fillId="6" borderId="14" xfId="1" applyFont="1" applyFill="1" applyBorder="1" applyAlignment="1" applyProtection="1">
      <alignment horizontal="center"/>
      <protection hidden="1"/>
    </xf>
    <xf numFmtId="0" fontId="9" fillId="5" borderId="14" xfId="1" applyFont="1" applyFill="1" applyBorder="1" applyProtection="1">
      <protection hidden="1"/>
    </xf>
    <xf numFmtId="0" fontId="10" fillId="3" borderId="0" xfId="1" applyFont="1" applyFill="1" applyProtection="1">
      <protection hidden="1"/>
    </xf>
    <xf numFmtId="164" fontId="9" fillId="2" borderId="16" xfId="1" applyNumberFormat="1" applyFont="1" applyBorder="1" applyAlignment="1" applyProtection="1">
      <alignment horizontal="left"/>
      <protection hidden="1"/>
    </xf>
    <xf numFmtId="0" fontId="9" fillId="2" borderId="16" xfId="1" applyFont="1" applyBorder="1" applyAlignment="1" applyProtection="1">
      <alignment horizontal="center"/>
      <protection hidden="1"/>
    </xf>
    <xf numFmtId="0" fontId="9" fillId="2" borderId="16" xfId="1" applyNumberFormat="1" applyFont="1" applyBorder="1" applyAlignment="1" applyProtection="1">
      <alignment horizontal="center"/>
      <protection hidden="1"/>
    </xf>
    <xf numFmtId="165" fontId="17" fillId="2" borderId="16" xfId="1" applyNumberFormat="1" applyFont="1" applyBorder="1" applyAlignment="1" applyProtection="1">
      <alignment horizontal="center"/>
      <protection hidden="1"/>
    </xf>
    <xf numFmtId="165" fontId="18" fillId="2" borderId="16" xfId="1" applyNumberFormat="1" applyFont="1" applyBorder="1" applyProtection="1">
      <protection hidden="1"/>
    </xf>
    <xf numFmtId="0" fontId="9" fillId="2" borderId="14" xfId="1" applyFont="1" applyBorder="1" applyAlignment="1" applyProtection="1">
      <alignment horizontal="center"/>
      <protection hidden="1"/>
    </xf>
    <xf numFmtId="1" fontId="9" fillId="2" borderId="14" xfId="1" applyNumberFormat="1" applyFont="1" applyBorder="1" applyAlignment="1" applyProtection="1">
      <alignment horizontal="center"/>
      <protection hidden="1"/>
    </xf>
    <xf numFmtId="165" fontId="18" fillId="2" borderId="14" xfId="1" applyNumberFormat="1" applyFont="1" applyBorder="1" applyProtection="1">
      <protection hidden="1"/>
    </xf>
    <xf numFmtId="0" fontId="9" fillId="2" borderId="14" xfId="1" applyFont="1" applyBorder="1" applyProtection="1">
      <protection hidden="1"/>
    </xf>
    <xf numFmtId="165" fontId="9" fillId="2" borderId="14" xfId="1" applyNumberFormat="1" applyFont="1" applyBorder="1" applyProtection="1">
      <protection hidden="1"/>
    </xf>
    <xf numFmtId="2" fontId="9" fillId="2" borderId="14" xfId="1" applyNumberFormat="1" applyFont="1" applyBorder="1" applyAlignment="1" applyProtection="1">
      <alignment horizontal="center"/>
      <protection hidden="1"/>
    </xf>
    <xf numFmtId="1" fontId="9" fillId="2" borderId="0" xfId="1" applyNumberFormat="1" applyFont="1" applyAlignment="1" applyProtection="1">
      <alignment horizontal="center"/>
      <protection hidden="1"/>
    </xf>
    <xf numFmtId="1" fontId="9" fillId="2" borderId="0" xfId="1" applyNumberFormat="1" applyFont="1" applyBorder="1" applyAlignment="1" applyProtection="1">
      <alignment horizontal="center"/>
      <protection hidden="1"/>
    </xf>
    <xf numFmtId="0" fontId="9" fillId="2" borderId="4" xfId="1" applyFont="1" applyBorder="1" applyProtection="1">
      <protection hidden="1"/>
    </xf>
    <xf numFmtId="0" fontId="9" fillId="2" borderId="0" xfId="1" applyFont="1" applyBorder="1" applyAlignment="1" applyProtection="1">
      <alignment horizontal="center"/>
      <protection hidden="1"/>
    </xf>
    <xf numFmtId="165" fontId="9" fillId="2" borderId="0" xfId="1" applyNumberFormat="1" applyFont="1" applyBorder="1" applyProtection="1">
      <protection hidden="1"/>
    </xf>
    <xf numFmtId="165" fontId="9" fillId="2" borderId="3" xfId="1" applyNumberFormat="1" applyFont="1" applyBorder="1" applyProtection="1">
      <protection hidden="1"/>
    </xf>
    <xf numFmtId="2" fontId="9" fillId="2" borderId="0" xfId="1" applyNumberFormat="1" applyFont="1" applyAlignment="1" applyProtection="1">
      <alignment horizontal="center"/>
      <protection hidden="1"/>
    </xf>
    <xf numFmtId="1" fontId="9" fillId="2" borderId="0" xfId="1" applyNumberFormat="1" applyFont="1" applyBorder="1" applyProtection="1">
      <protection hidden="1"/>
    </xf>
    <xf numFmtId="0" fontId="9" fillId="2" borderId="0" xfId="1" applyFont="1" applyBorder="1" applyAlignment="1" applyProtection="1">
      <alignment horizontal="right"/>
      <protection hidden="1"/>
    </xf>
    <xf numFmtId="0" fontId="9" fillId="2" borderId="0" xfId="1" applyFont="1" applyBorder="1" applyAlignment="1" applyProtection="1">
      <alignment horizontal="left"/>
      <protection hidden="1"/>
    </xf>
    <xf numFmtId="0" fontId="9" fillId="2" borderId="4" xfId="1" applyFont="1" applyBorder="1" applyAlignment="1" applyProtection="1">
      <alignment horizontal="left"/>
      <protection hidden="1"/>
    </xf>
    <xf numFmtId="2" fontId="9" fillId="2" borderId="0" xfId="1" applyNumberFormat="1" applyFont="1" applyBorder="1" applyProtection="1">
      <protection hidden="1"/>
    </xf>
    <xf numFmtId="0" fontId="9" fillId="4" borderId="0" xfId="1" applyFont="1" applyFill="1" applyBorder="1" applyProtection="1">
      <protection hidden="1"/>
    </xf>
    <xf numFmtId="0" fontId="9" fillId="2" borderId="0" xfId="1" applyFont="1" applyBorder="1" applyProtection="1">
      <protection locked="0"/>
    </xf>
    <xf numFmtId="0" fontId="9" fillId="2" borderId="3" xfId="1" applyFont="1" applyBorder="1" applyProtection="1">
      <protection locked="0"/>
    </xf>
    <xf numFmtId="0" fontId="9" fillId="2" borderId="4" xfId="1" applyFont="1" applyBorder="1" applyAlignment="1" applyProtection="1">
      <alignment vertical="center"/>
      <protection hidden="1"/>
    </xf>
    <xf numFmtId="0" fontId="10" fillId="4" borderId="0" xfId="1" applyFont="1" applyFill="1" applyBorder="1" applyAlignment="1" applyProtection="1">
      <alignment horizontal="center"/>
      <protection hidden="1"/>
    </xf>
    <xf numFmtId="0" fontId="9" fillId="2" borderId="0" xfId="1" quotePrefix="1" applyFont="1" applyBorder="1" applyProtection="1">
      <protection hidden="1"/>
    </xf>
    <xf numFmtId="0" fontId="10" fillId="4" borderId="0" xfId="1" applyFont="1" applyFill="1" applyBorder="1" applyProtection="1">
      <protection hidden="1"/>
    </xf>
    <xf numFmtId="2" fontId="10" fillId="4" borderId="13" xfId="1" applyNumberFormat="1" applyFont="1" applyFill="1" applyBorder="1" applyProtection="1">
      <protection hidden="1"/>
    </xf>
    <xf numFmtId="0" fontId="10" fillId="4" borderId="0" xfId="1" quotePrefix="1" applyFont="1" applyFill="1" applyBorder="1" applyProtection="1">
      <protection hidden="1"/>
    </xf>
    <xf numFmtId="0" fontId="9" fillId="2" borderId="5" xfId="1" applyFont="1" applyBorder="1" applyProtection="1">
      <protection hidden="1"/>
    </xf>
    <xf numFmtId="0" fontId="9" fillId="2" borderId="6" xfId="1" applyFont="1" applyBorder="1" applyProtection="1">
      <protection hidden="1"/>
    </xf>
    <xf numFmtId="0" fontId="19" fillId="2" borderId="6" xfId="1" applyFont="1" applyBorder="1" applyAlignment="1" applyProtection="1">
      <alignment horizontal="right"/>
      <protection hidden="1"/>
    </xf>
    <xf numFmtId="0" fontId="9" fillId="2" borderId="6" xfId="1" applyFont="1" applyBorder="1" applyAlignment="1" applyProtection="1">
      <alignment horizontal="right"/>
      <protection hidden="1"/>
    </xf>
    <xf numFmtId="0" fontId="9" fillId="2" borderId="7" xfId="1" applyFont="1" applyBorder="1" applyProtection="1">
      <protection hidden="1"/>
    </xf>
    <xf numFmtId="0" fontId="9" fillId="2" borderId="8" xfId="1" applyFont="1" applyBorder="1" applyProtection="1">
      <protection hidden="1"/>
    </xf>
    <xf numFmtId="0" fontId="9" fillId="2" borderId="1" xfId="1" applyFont="1" applyBorder="1" applyAlignment="1" applyProtection="1">
      <alignment horizontal="center"/>
      <protection hidden="1"/>
    </xf>
    <xf numFmtId="0" fontId="9" fillId="2" borderId="2" xfId="1" applyFont="1" applyBorder="1" applyProtection="1">
      <protection hidden="1"/>
    </xf>
    <xf numFmtId="2" fontId="10" fillId="4" borderId="14" xfId="1" applyNumberFormat="1" applyFont="1" applyFill="1" applyBorder="1" applyAlignment="1" applyProtection="1">
      <alignment horizontal="center"/>
      <protection locked="0"/>
    </xf>
    <xf numFmtId="0" fontId="10" fillId="4" borderId="0" xfId="1" applyFont="1" applyFill="1" applyBorder="1" applyAlignment="1" applyProtection="1">
      <alignment horizontal="right"/>
      <protection hidden="1"/>
    </xf>
    <xf numFmtId="0" fontId="10" fillId="4" borderId="0" xfId="1" applyFont="1" applyFill="1" applyBorder="1" applyAlignment="1" applyProtection="1">
      <protection hidden="1"/>
    </xf>
    <xf numFmtId="0" fontId="9" fillId="2" borderId="6" xfId="1" applyFont="1" applyBorder="1" applyAlignment="1" applyProtection="1">
      <alignment horizontal="center"/>
      <protection hidden="1"/>
    </xf>
    <xf numFmtId="2" fontId="10" fillId="8" borderId="14" xfId="1" applyNumberFormat="1" applyFont="1" applyFill="1" applyBorder="1" applyAlignment="1" applyProtection="1">
      <alignment horizontal="center"/>
      <protection hidden="1"/>
    </xf>
    <xf numFmtId="0" fontId="4" fillId="2" borderId="4" xfId="1" applyFont="1" applyBorder="1" applyAlignment="1" applyProtection="1">
      <alignment horizontal="left"/>
      <protection hidden="1"/>
    </xf>
    <xf numFmtId="0" fontId="4" fillId="2" borderId="0" xfId="1" applyFont="1" applyBorder="1" applyAlignment="1" applyProtection="1">
      <alignment horizontal="left"/>
      <protection hidden="1"/>
    </xf>
    <xf numFmtId="0" fontId="10" fillId="0" borderId="0" xfId="1" applyFont="1" applyFill="1" applyBorder="1" applyAlignment="1" applyProtection="1">
      <alignment horizontal="center"/>
    </xf>
    <xf numFmtId="0" fontId="5" fillId="9" borderId="6" xfId="1" applyFont="1" applyFill="1" applyBorder="1" applyAlignment="1" applyProtection="1">
      <alignment horizontal="left"/>
      <protection hidden="1"/>
    </xf>
    <xf numFmtId="0" fontId="25" fillId="9" borderId="17" xfId="1" applyFont="1" applyFill="1" applyBorder="1" applyAlignment="1" applyProtection="1">
      <alignment horizontal="center"/>
      <protection hidden="1"/>
    </xf>
    <xf numFmtId="0" fontId="26" fillId="10" borderId="18" xfId="1" applyFont="1" applyFill="1" applyBorder="1" applyAlignment="1" applyProtection="1">
      <alignment horizontal="center"/>
      <protection locked="0"/>
    </xf>
    <xf numFmtId="0" fontId="25" fillId="9" borderId="19" xfId="1" applyFont="1" applyFill="1" applyBorder="1" applyAlignment="1" applyProtection="1">
      <alignment horizontal="center"/>
      <protection hidden="1"/>
    </xf>
    <xf numFmtId="0" fontId="20" fillId="9" borderId="17" xfId="1" applyFont="1" applyFill="1" applyBorder="1" applyAlignment="1" applyProtection="1">
      <alignment horizontal="right"/>
      <protection hidden="1"/>
    </xf>
    <xf numFmtId="0" fontId="24" fillId="9" borderId="18" xfId="1" applyFont="1" applyFill="1" applyBorder="1" applyAlignment="1" applyProtection="1">
      <alignment horizontal="center"/>
    </xf>
    <xf numFmtId="0" fontId="7" fillId="9" borderId="17" xfId="1" applyFont="1" applyFill="1" applyBorder="1" applyProtection="1"/>
    <xf numFmtId="0" fontId="7" fillId="9" borderId="19" xfId="1" applyFont="1" applyFill="1" applyBorder="1" applyProtection="1"/>
    <xf numFmtId="0" fontId="8" fillId="9" borderId="18" xfId="1" applyFont="1" applyFill="1" applyBorder="1" applyAlignment="1" applyProtection="1">
      <alignment horizontal="right"/>
      <protection hidden="1"/>
    </xf>
    <xf numFmtId="0" fontId="10" fillId="4" borderId="9" xfId="1" applyFont="1" applyFill="1" applyBorder="1" applyAlignment="1" applyProtection="1">
      <alignment horizontal="center"/>
      <protection locked="0"/>
    </xf>
    <xf numFmtId="0" fontId="10" fillId="4" borderId="10" xfId="1" applyFont="1" applyFill="1" applyBorder="1" applyAlignment="1" applyProtection="1">
      <alignment horizontal="center"/>
      <protection locked="0"/>
    </xf>
    <xf numFmtId="0" fontId="10" fillId="4" borderId="11" xfId="1" applyFont="1" applyFill="1" applyBorder="1" applyAlignment="1" applyProtection="1">
      <alignment horizontal="center"/>
      <protection locked="0"/>
    </xf>
    <xf numFmtId="0" fontId="10" fillId="6" borderId="14" xfId="1" applyFont="1" applyFill="1" applyBorder="1" applyAlignment="1" applyProtection="1">
      <alignment horizontal="center" wrapText="1"/>
      <protection hidden="1"/>
    </xf>
    <xf numFmtId="2" fontId="27" fillId="2" borderId="14" xfId="1" applyNumberFormat="1" applyFont="1" applyFill="1" applyBorder="1" applyAlignment="1" applyProtection="1">
      <alignment horizontal="center"/>
      <protection locked="0"/>
    </xf>
    <xf numFmtId="0" fontId="21" fillId="2" borderId="14" xfId="1" applyFont="1" applyBorder="1" applyProtection="1">
      <protection hidden="1"/>
    </xf>
    <xf numFmtId="0" fontId="28" fillId="2" borderId="16" xfId="1" applyFont="1" applyBorder="1" applyProtection="1">
      <protection hidden="1"/>
    </xf>
    <xf numFmtId="0" fontId="9" fillId="2" borderId="4" xfId="1" applyFont="1" applyBorder="1" applyAlignment="1" applyProtection="1">
      <alignment wrapText="1"/>
      <protection hidden="1"/>
    </xf>
    <xf numFmtId="0" fontId="9" fillId="2" borderId="5" xfId="1" applyFont="1" applyBorder="1" applyAlignment="1" applyProtection="1">
      <alignment wrapText="1"/>
      <protection hidden="1"/>
    </xf>
    <xf numFmtId="164" fontId="9" fillId="2" borderId="0" xfId="1" applyNumberFormat="1" applyFont="1" applyBorder="1" applyAlignment="1" applyProtection="1">
      <alignment horizontal="center"/>
      <protection hidden="1"/>
    </xf>
    <xf numFmtId="164" fontId="9" fillId="2" borderId="0" xfId="1" applyNumberFormat="1" applyFont="1" applyBorder="1" applyAlignment="1" applyProtection="1">
      <alignment horizontal="left"/>
      <protection hidden="1"/>
    </xf>
    <xf numFmtId="0" fontId="7" fillId="2" borderId="0" xfId="1" applyFont="1" applyAlignment="1" applyProtection="1">
      <alignment horizontal="center"/>
    </xf>
    <xf numFmtId="0" fontId="7" fillId="2" borderId="0" xfId="1" applyFont="1" applyAlignment="1" applyProtection="1">
      <alignment horizontal="center" vertical="center"/>
    </xf>
    <xf numFmtId="14" fontId="29" fillId="6" borderId="14" xfId="0" applyNumberFormat="1" applyFont="1" applyFill="1" applyBorder="1" applyAlignment="1">
      <alignment horizontal="center" wrapText="1"/>
    </xf>
    <xf numFmtId="14" fontId="1" fillId="2" borderId="0" xfId="1" applyNumberFormat="1" applyProtection="1"/>
    <xf numFmtId="0" fontId="29" fillId="0" borderId="0" xfId="0" applyFont="1"/>
    <xf numFmtId="0" fontId="0" fillId="0" borderId="14" xfId="0" applyBorder="1" applyAlignment="1">
      <alignment horizontal="center"/>
    </xf>
    <xf numFmtId="14" fontId="0" fillId="0" borderId="14" xfId="0" applyNumberFormat="1" applyBorder="1" applyAlignment="1">
      <alignment horizontal="center"/>
    </xf>
    <xf numFmtId="0" fontId="29" fillId="12" borderId="14" xfId="0" applyFont="1" applyFill="1" applyBorder="1" applyAlignment="1">
      <alignment horizontal="center"/>
    </xf>
    <xf numFmtId="0" fontId="29" fillId="11" borderId="14" xfId="0" applyFont="1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7" fillId="2" borderId="0" xfId="1" applyFont="1" applyBorder="1" applyProtection="1"/>
    <xf numFmtId="0" fontId="7" fillId="2" borderId="0" xfId="1" applyFont="1" applyBorder="1" applyAlignment="1" applyProtection="1">
      <alignment horizontal="center" vertical="center"/>
    </xf>
    <xf numFmtId="0" fontId="7" fillId="2" borderId="0" xfId="1" applyFont="1" applyBorder="1" applyAlignment="1" applyProtection="1">
      <alignment horizontal="center"/>
    </xf>
    <xf numFmtId="0" fontId="0" fillId="14" borderId="14" xfId="0" applyFill="1" applyBorder="1" applyAlignment="1">
      <alignment horizontal="center"/>
    </xf>
    <xf numFmtId="0" fontId="10" fillId="3" borderId="13" xfId="1" applyFont="1" applyFill="1" applyBorder="1" applyAlignment="1" applyProtection="1">
      <alignment horizontal="center"/>
      <protection hidden="1"/>
    </xf>
    <xf numFmtId="0" fontId="9" fillId="2" borderId="16" xfId="1" applyFont="1" applyBorder="1" applyAlignment="1" applyProtection="1">
      <alignment horizontal="center"/>
      <protection locked="0"/>
    </xf>
    <xf numFmtId="0" fontId="9" fillId="2" borderId="14" xfId="1" applyFont="1" applyBorder="1" applyAlignment="1" applyProtection="1">
      <alignment horizontal="center"/>
      <protection locked="0"/>
    </xf>
    <xf numFmtId="0" fontId="10" fillId="3" borderId="13" xfId="1" applyFont="1" applyFill="1" applyBorder="1" applyAlignment="1" applyProtection="1">
      <alignment horizontal="center"/>
      <protection locked="0"/>
    </xf>
    <xf numFmtId="2" fontId="9" fillId="2" borderId="20" xfId="1" applyNumberFormat="1" applyFont="1" applyBorder="1" applyAlignment="1" applyProtection="1">
      <alignment horizontal="center"/>
      <protection hidden="1"/>
    </xf>
    <xf numFmtId="0" fontId="9" fillId="2" borderId="3" xfId="1" applyFont="1" applyBorder="1" applyAlignment="1" applyProtection="1">
      <alignment horizontal="left"/>
      <protection hidden="1"/>
    </xf>
    <xf numFmtId="0" fontId="9" fillId="4" borderId="3" xfId="1" applyFont="1" applyFill="1" applyBorder="1" applyProtection="1">
      <protection hidden="1"/>
    </xf>
    <xf numFmtId="0" fontId="10" fillId="4" borderId="3" xfId="1" applyFont="1" applyFill="1" applyBorder="1" applyProtection="1">
      <protection hidden="1"/>
    </xf>
    <xf numFmtId="0" fontId="7" fillId="2" borderId="21" xfId="1" applyFont="1" applyBorder="1" applyProtection="1"/>
    <xf numFmtId="0" fontId="10" fillId="4" borderId="3" xfId="1" applyFont="1" applyFill="1" applyBorder="1" applyAlignment="1" applyProtection="1">
      <protection hidden="1"/>
    </xf>
    <xf numFmtId="0" fontId="7" fillId="2" borderId="7" xfId="1" applyFont="1" applyBorder="1" applyProtection="1"/>
    <xf numFmtId="0" fontId="9" fillId="2" borderId="2" xfId="1" applyFont="1" applyBorder="1" applyAlignment="1" applyProtection="1">
      <alignment horizontal="center"/>
      <protection hidden="1"/>
    </xf>
    <xf numFmtId="0" fontId="0" fillId="0" borderId="20" xfId="0" applyBorder="1"/>
    <xf numFmtId="0" fontId="7" fillId="2" borderId="14" xfId="1" applyFont="1" applyBorder="1" applyProtection="1">
      <protection locked="0"/>
    </xf>
    <xf numFmtId="0" fontId="0" fillId="0" borderId="14" xfId="0" applyBorder="1"/>
    <xf numFmtId="0" fontId="29" fillId="11" borderId="14" xfId="0" applyFont="1" applyFill="1" applyBorder="1" applyAlignment="1">
      <alignment horizontal="center" vertical="center"/>
    </xf>
    <xf numFmtId="0" fontId="29" fillId="11" borderId="14" xfId="0" applyFont="1" applyFill="1" applyBorder="1" applyAlignment="1">
      <alignment horizontal="center" vertical="center" wrapText="1"/>
    </xf>
    <xf numFmtId="14" fontId="0" fillId="0" borderId="0" xfId="0" applyNumberFormat="1"/>
    <xf numFmtId="0" fontId="30" fillId="0" borderId="9" xfId="0" applyFont="1" applyBorder="1" applyAlignment="1">
      <alignment horizontal="center" wrapText="1"/>
    </xf>
    <xf numFmtId="0" fontId="0" fillId="14" borderId="0" xfId="0" applyFill="1"/>
    <xf numFmtId="49" fontId="2" fillId="2" borderId="0" xfId="1" applyNumberFormat="1" applyFont="1" applyProtection="1">
      <protection hidden="1"/>
    </xf>
    <xf numFmtId="0" fontId="0" fillId="0" borderId="0" xfId="0" applyAlignment="1">
      <alignment horizontal="center"/>
    </xf>
    <xf numFmtId="2" fontId="0" fillId="0" borderId="0" xfId="0" applyNumberFormat="1"/>
    <xf numFmtId="0" fontId="27" fillId="2" borderId="16" xfId="1" applyFont="1" applyFill="1" applyBorder="1" applyAlignment="1" applyProtection="1">
      <alignment horizontal="center"/>
      <protection locked="0"/>
    </xf>
    <xf numFmtId="0" fontId="31" fillId="0" borderId="14" xfId="0" applyFont="1" applyBorder="1" applyAlignment="1">
      <alignment horizontal="center"/>
    </xf>
    <xf numFmtId="2" fontId="30" fillId="0" borderId="0" xfId="0" applyNumberFormat="1" applyFont="1" applyAlignment="1" applyProtection="1">
      <alignment horizontal="center"/>
      <protection locked="0"/>
    </xf>
    <xf numFmtId="0" fontId="32" fillId="4" borderId="12" xfId="1" applyFont="1" applyFill="1" applyBorder="1" applyProtection="1">
      <protection locked="0"/>
    </xf>
    <xf numFmtId="0" fontId="33" fillId="2" borderId="4" xfId="1" applyFont="1" applyBorder="1" applyProtection="1">
      <protection hidden="1"/>
    </xf>
    <xf numFmtId="0" fontId="33" fillId="2" borderId="0" xfId="1" applyFont="1" applyBorder="1" applyProtection="1">
      <protection hidden="1"/>
    </xf>
    <xf numFmtId="2" fontId="33" fillId="2" borderId="0" xfId="1" applyNumberFormat="1" applyFont="1" applyBorder="1" applyProtection="1">
      <protection hidden="1"/>
    </xf>
    <xf numFmtId="0" fontId="33" fillId="2" borderId="4" xfId="1" applyFont="1" applyBorder="1" applyAlignment="1" applyProtection="1">
      <protection hidden="1"/>
    </xf>
    <xf numFmtId="0" fontId="32" fillId="4" borderId="12" xfId="1" applyFont="1" applyFill="1" applyBorder="1" applyProtection="1">
      <protection locked="0" hidden="1"/>
    </xf>
    <xf numFmtId="49" fontId="25" fillId="9" borderId="19" xfId="1" applyNumberFormat="1" applyFont="1" applyFill="1" applyBorder="1" applyAlignment="1" applyProtection="1">
      <alignment horizontal="center"/>
      <protection hidden="1"/>
    </xf>
    <xf numFmtId="0" fontId="9" fillId="2" borderId="14" xfId="1" applyNumberFormat="1" applyFont="1" applyBorder="1" applyAlignment="1" applyProtection="1">
      <alignment horizontal="center"/>
      <protection hidden="1"/>
    </xf>
    <xf numFmtId="0" fontId="0" fillId="0" borderId="0" xfId="0" applyAlignment="1">
      <alignment horizontal="center" vertical="center"/>
    </xf>
    <xf numFmtId="0" fontId="10" fillId="6" borderId="14" xfId="1" applyNumberFormat="1" applyFont="1" applyFill="1" applyBorder="1" applyAlignment="1" applyProtection="1">
      <alignment horizontal="center" vertical="center" wrapText="1"/>
      <protection hidden="1"/>
    </xf>
    <xf numFmtId="0" fontId="10" fillId="6" borderId="14" xfId="1" applyNumberFormat="1" applyFont="1" applyFill="1" applyBorder="1" applyAlignment="1" applyProtection="1">
      <alignment horizontal="center" wrapText="1"/>
      <protection hidden="1"/>
    </xf>
    <xf numFmtId="0" fontId="9" fillId="2" borderId="22" xfId="1" applyFont="1" applyBorder="1" applyAlignment="1" applyProtection="1">
      <alignment horizontal="center"/>
      <protection locked="0"/>
    </xf>
    <xf numFmtId="0" fontId="34" fillId="0" borderId="14" xfId="0" applyFont="1" applyBorder="1" applyAlignment="1">
      <alignment horizontal="center" wrapText="1"/>
    </xf>
    <xf numFmtId="49" fontId="22" fillId="4" borderId="15" xfId="1" applyNumberFormat="1" applyFont="1" applyFill="1" applyBorder="1" applyAlignment="1" applyProtection="1">
      <alignment horizontal="left"/>
      <protection locked="0"/>
    </xf>
    <xf numFmtId="49" fontId="23" fillId="2" borderId="15" xfId="1" applyNumberFormat="1" applyFont="1" applyBorder="1" applyAlignment="1" applyProtection="1">
      <alignment horizontal="left"/>
      <protection locked="0"/>
    </xf>
  </cellXfs>
  <cellStyles count="2">
    <cellStyle name="Normalny" xfId="0" builtinId="0"/>
    <cellStyle name="Normalny 2" xfId="1"/>
  </cellStyles>
  <dxfs count="0"/>
  <tableStyles count="0" defaultTableStyle="TableStyleMedium2" defaultPivotStyle="PivotStyleLight16"/>
  <colors>
    <mruColors>
      <color rgb="FFFFFFCC"/>
      <color rgb="FFF334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110265</xdr:colOff>
      <xdr:row>4</xdr:row>
      <xdr:rowOff>89618</xdr:rowOff>
    </xdr:from>
    <xdr:to>
      <xdr:col>2</xdr:col>
      <xdr:colOff>1034190</xdr:colOff>
      <xdr:row>6</xdr:row>
      <xdr:rowOff>168540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109" b="-3175"/>
        <a:stretch/>
      </xdr:blipFill>
      <xdr:spPr bwMode="auto">
        <a:xfrm>
          <a:off x="110265" y="919654"/>
          <a:ext cx="923925" cy="4599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95250</xdr:colOff>
      <xdr:row>4</xdr:row>
      <xdr:rowOff>95250</xdr:rowOff>
    </xdr:from>
    <xdr:to>
      <xdr:col>2</xdr:col>
      <xdr:colOff>1019175</xdr:colOff>
      <xdr:row>6</xdr:row>
      <xdr:rowOff>174172</xdr:rowOff>
    </xdr:to>
    <xdr:pic>
      <xdr:nvPicPr>
        <xdr:cNvPr id="4" name="Grafik 6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109" b="-3175"/>
        <a:stretch/>
      </xdr:blipFill>
      <xdr:spPr bwMode="auto">
        <a:xfrm>
          <a:off x="95250" y="925286"/>
          <a:ext cx="923925" cy="4599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122465</xdr:colOff>
      <xdr:row>4</xdr:row>
      <xdr:rowOff>108857</xdr:rowOff>
    </xdr:from>
    <xdr:to>
      <xdr:col>2</xdr:col>
      <xdr:colOff>1046390</xdr:colOff>
      <xdr:row>6</xdr:row>
      <xdr:rowOff>187779</xdr:rowOff>
    </xdr:to>
    <xdr:pic>
      <xdr:nvPicPr>
        <xdr:cNvPr id="4" name="Grafik 6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109" b="-3175"/>
        <a:stretch/>
      </xdr:blipFill>
      <xdr:spPr bwMode="auto">
        <a:xfrm>
          <a:off x="122465" y="938893"/>
          <a:ext cx="923925" cy="4599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163286</xdr:colOff>
      <xdr:row>4</xdr:row>
      <xdr:rowOff>108857</xdr:rowOff>
    </xdr:from>
    <xdr:to>
      <xdr:col>2</xdr:col>
      <xdr:colOff>1087211</xdr:colOff>
      <xdr:row>6</xdr:row>
      <xdr:rowOff>187779</xdr:rowOff>
    </xdr:to>
    <xdr:pic>
      <xdr:nvPicPr>
        <xdr:cNvPr id="4" name="Grafik 6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109" b="-3175"/>
        <a:stretch/>
      </xdr:blipFill>
      <xdr:spPr bwMode="auto">
        <a:xfrm>
          <a:off x="163286" y="938893"/>
          <a:ext cx="923925" cy="4599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108858</xdr:colOff>
      <xdr:row>4</xdr:row>
      <xdr:rowOff>95250</xdr:rowOff>
    </xdr:from>
    <xdr:to>
      <xdr:col>2</xdr:col>
      <xdr:colOff>1032783</xdr:colOff>
      <xdr:row>6</xdr:row>
      <xdr:rowOff>174172</xdr:rowOff>
    </xdr:to>
    <xdr:pic>
      <xdr:nvPicPr>
        <xdr:cNvPr id="4" name="Grafik 6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109" b="-3175"/>
        <a:stretch/>
      </xdr:blipFill>
      <xdr:spPr bwMode="auto">
        <a:xfrm>
          <a:off x="108858" y="925286"/>
          <a:ext cx="923925" cy="4599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122465</xdr:colOff>
      <xdr:row>4</xdr:row>
      <xdr:rowOff>108858</xdr:rowOff>
    </xdr:from>
    <xdr:to>
      <xdr:col>2</xdr:col>
      <xdr:colOff>1046390</xdr:colOff>
      <xdr:row>6</xdr:row>
      <xdr:rowOff>187780</xdr:rowOff>
    </xdr:to>
    <xdr:pic>
      <xdr:nvPicPr>
        <xdr:cNvPr id="4" name="Grafik 6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109" b="-3175"/>
        <a:stretch/>
      </xdr:blipFill>
      <xdr:spPr bwMode="auto">
        <a:xfrm>
          <a:off x="122465" y="938894"/>
          <a:ext cx="923925" cy="4599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108857</xdr:colOff>
      <xdr:row>4</xdr:row>
      <xdr:rowOff>108857</xdr:rowOff>
    </xdr:from>
    <xdr:to>
      <xdr:col>2</xdr:col>
      <xdr:colOff>1032782</xdr:colOff>
      <xdr:row>6</xdr:row>
      <xdr:rowOff>187779</xdr:rowOff>
    </xdr:to>
    <xdr:pic>
      <xdr:nvPicPr>
        <xdr:cNvPr id="4" name="Grafik 6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109" b="-3175"/>
        <a:stretch/>
      </xdr:blipFill>
      <xdr:spPr bwMode="auto">
        <a:xfrm>
          <a:off x="108857" y="938893"/>
          <a:ext cx="923925" cy="4599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136071</xdr:colOff>
      <xdr:row>4</xdr:row>
      <xdr:rowOff>122464</xdr:rowOff>
    </xdr:from>
    <xdr:to>
      <xdr:col>2</xdr:col>
      <xdr:colOff>1059996</xdr:colOff>
      <xdr:row>7</xdr:row>
      <xdr:rowOff>1361</xdr:rowOff>
    </xdr:to>
    <xdr:pic>
      <xdr:nvPicPr>
        <xdr:cNvPr id="4" name="Grafik 6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109" b="-3175"/>
        <a:stretch/>
      </xdr:blipFill>
      <xdr:spPr bwMode="auto">
        <a:xfrm>
          <a:off x="136071" y="952500"/>
          <a:ext cx="923925" cy="4599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4</xdr:row>
      <xdr:rowOff>97971</xdr:rowOff>
    </xdr:from>
    <xdr:to>
      <xdr:col>2</xdr:col>
      <xdr:colOff>1047750</xdr:colOff>
      <xdr:row>6</xdr:row>
      <xdr:rowOff>176893</xdr:rowOff>
    </xdr:to>
    <xdr:pic>
      <xdr:nvPicPr>
        <xdr:cNvPr id="4" name="Grafik 6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109" b="-3175"/>
        <a:stretch/>
      </xdr:blipFill>
      <xdr:spPr bwMode="auto">
        <a:xfrm>
          <a:off x="123825" y="928007"/>
          <a:ext cx="923925" cy="4599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151039</xdr:colOff>
      <xdr:row>4</xdr:row>
      <xdr:rowOff>97971</xdr:rowOff>
    </xdr:from>
    <xdr:to>
      <xdr:col>2</xdr:col>
      <xdr:colOff>1074964</xdr:colOff>
      <xdr:row>6</xdr:row>
      <xdr:rowOff>176893</xdr:rowOff>
    </xdr:to>
    <xdr:pic>
      <xdr:nvPicPr>
        <xdr:cNvPr id="4" name="Grafik 6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109" b="-3175"/>
        <a:stretch/>
      </xdr:blipFill>
      <xdr:spPr bwMode="auto">
        <a:xfrm>
          <a:off x="151039" y="928007"/>
          <a:ext cx="923925" cy="4599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162792</xdr:colOff>
      <xdr:row>4</xdr:row>
      <xdr:rowOff>103099</xdr:rowOff>
    </xdr:from>
    <xdr:to>
      <xdr:col>2</xdr:col>
      <xdr:colOff>1086717</xdr:colOff>
      <xdr:row>6</xdr:row>
      <xdr:rowOff>182021</xdr:rowOff>
    </xdr:to>
    <xdr:pic>
      <xdr:nvPicPr>
        <xdr:cNvPr id="4" name="Grafik 6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109" b="-3175"/>
        <a:stretch/>
      </xdr:blipFill>
      <xdr:spPr bwMode="auto">
        <a:xfrm>
          <a:off x="162792" y="933135"/>
          <a:ext cx="923925" cy="4599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4</xdr:row>
      <xdr:rowOff>97971</xdr:rowOff>
    </xdr:from>
    <xdr:to>
      <xdr:col>2</xdr:col>
      <xdr:colOff>1047750</xdr:colOff>
      <xdr:row>6</xdr:row>
      <xdr:rowOff>176893</xdr:rowOff>
    </xdr:to>
    <xdr:pic>
      <xdr:nvPicPr>
        <xdr:cNvPr id="4" name="Grafik 6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2109" b="-3175"/>
        <a:stretch/>
      </xdr:blipFill>
      <xdr:spPr bwMode="auto">
        <a:xfrm>
          <a:off x="123825" y="928007"/>
          <a:ext cx="923925" cy="4599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5</xdr:row>
          <xdr:rowOff>133350</xdr:rowOff>
        </xdr:from>
        <xdr:to>
          <xdr:col>6</xdr:col>
          <xdr:colOff>57150</xdr:colOff>
          <xdr:row>7</xdr:row>
          <xdr:rowOff>123825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Zlicz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5</xdr:row>
          <xdr:rowOff>123825</xdr:rowOff>
        </xdr:from>
        <xdr:to>
          <xdr:col>8</xdr:col>
          <xdr:colOff>457200</xdr:colOff>
          <xdr:row>7</xdr:row>
          <xdr:rowOff>152400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D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Utwórz ewidencję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3"/>
  <dimension ref="A1:H16"/>
  <sheetViews>
    <sheetView workbookViewId="0">
      <selection activeCell="B16" sqref="B16"/>
    </sheetView>
  </sheetViews>
  <sheetFormatPr defaultColWidth="9.140625" defaultRowHeight="15" x14ac:dyDescent="0.25"/>
  <cols>
    <col min="1" max="1" width="3.5703125" bestFit="1" customWidth="1"/>
    <col min="2" max="2" width="27.5703125" bestFit="1" customWidth="1"/>
  </cols>
  <sheetData>
    <row r="1" spans="1:8" x14ac:dyDescent="0.25">
      <c r="D1" s="8"/>
      <c r="G1" s="126" t="s">
        <v>102</v>
      </c>
      <c r="H1" t="s">
        <v>111</v>
      </c>
    </row>
    <row r="2" spans="1:8" x14ac:dyDescent="0.25">
      <c r="A2" s="9" t="s">
        <v>47</v>
      </c>
      <c r="B2" s="10" t="s">
        <v>3</v>
      </c>
      <c r="C2" s="8"/>
      <c r="D2" s="8"/>
      <c r="G2" s="148"/>
      <c r="H2" s="148"/>
    </row>
    <row r="3" spans="1:8" x14ac:dyDescent="0.25">
      <c r="A3" s="9" t="s">
        <v>7</v>
      </c>
      <c r="B3" s="10" t="s">
        <v>8</v>
      </c>
      <c r="C3" s="8"/>
      <c r="D3" s="8"/>
      <c r="G3" s="150" t="s">
        <v>103</v>
      </c>
      <c r="H3" s="150" t="s">
        <v>112</v>
      </c>
    </row>
    <row r="4" spans="1:8" x14ac:dyDescent="0.25">
      <c r="A4" s="9" t="s">
        <v>62</v>
      </c>
      <c r="B4" s="10" t="s">
        <v>9</v>
      </c>
      <c r="C4" s="8"/>
      <c r="D4" s="8"/>
      <c r="E4" s="8"/>
      <c r="G4" s="150" t="s">
        <v>104</v>
      </c>
      <c r="H4" s="150" t="s">
        <v>113</v>
      </c>
    </row>
    <row r="5" spans="1:8" x14ac:dyDescent="0.25">
      <c r="A5" s="9" t="s">
        <v>10</v>
      </c>
      <c r="B5" s="10" t="s">
        <v>143</v>
      </c>
      <c r="C5" s="8"/>
      <c r="D5" s="8"/>
      <c r="E5" s="8"/>
      <c r="G5" s="150" t="s">
        <v>106</v>
      </c>
      <c r="H5" s="150" t="s">
        <v>114</v>
      </c>
    </row>
    <row r="6" spans="1:8" x14ac:dyDescent="0.25">
      <c r="A6" s="9" t="s">
        <v>14</v>
      </c>
      <c r="B6" s="10" t="s">
        <v>15</v>
      </c>
      <c r="C6" s="8"/>
      <c r="D6" s="8"/>
      <c r="E6" s="8"/>
      <c r="G6" s="150" t="s">
        <v>107</v>
      </c>
      <c r="H6" s="150" t="s">
        <v>115</v>
      </c>
    </row>
    <row r="7" spans="1:8" x14ac:dyDescent="0.25">
      <c r="A7" s="9" t="s">
        <v>19</v>
      </c>
      <c r="B7" s="10" t="s">
        <v>20</v>
      </c>
      <c r="C7" s="8"/>
      <c r="D7" s="8"/>
      <c r="E7" s="8"/>
      <c r="G7" s="150" t="s">
        <v>108</v>
      </c>
      <c r="H7" s="150" t="s">
        <v>116</v>
      </c>
    </row>
    <row r="8" spans="1:8" x14ac:dyDescent="0.25">
      <c r="A8" s="9" t="s">
        <v>55</v>
      </c>
      <c r="B8" s="10" t="s">
        <v>56</v>
      </c>
      <c r="C8" s="8"/>
      <c r="G8" s="150" t="s">
        <v>109</v>
      </c>
      <c r="H8" s="150" t="s">
        <v>117</v>
      </c>
    </row>
    <row r="9" spans="1:8" x14ac:dyDescent="0.25">
      <c r="A9" s="122" t="s">
        <v>57</v>
      </c>
      <c r="B9" s="8" t="s">
        <v>58</v>
      </c>
      <c r="G9" s="150" t="s">
        <v>110</v>
      </c>
      <c r="H9" s="150" t="s">
        <v>118</v>
      </c>
    </row>
    <row r="10" spans="1:8" x14ac:dyDescent="0.25">
      <c r="A10" s="122" t="s">
        <v>59</v>
      </c>
      <c r="B10" s="8" t="s">
        <v>60</v>
      </c>
      <c r="G10" s="150" t="s">
        <v>123</v>
      </c>
      <c r="H10" s="150" t="s">
        <v>127</v>
      </c>
    </row>
    <row r="11" spans="1:8" x14ac:dyDescent="0.25">
      <c r="A11" s="9" t="s">
        <v>93</v>
      </c>
      <c r="B11" s="10" t="s">
        <v>94</v>
      </c>
      <c r="G11" s="150" t="s">
        <v>124</v>
      </c>
      <c r="H11" s="150" t="s">
        <v>128</v>
      </c>
    </row>
    <row r="12" spans="1:8" x14ac:dyDescent="0.25">
      <c r="A12" s="9" t="s">
        <v>142</v>
      </c>
      <c r="B12" s="10" t="s">
        <v>144</v>
      </c>
      <c r="G12" s="150" t="s">
        <v>125</v>
      </c>
      <c r="H12" s="150" t="s">
        <v>129</v>
      </c>
    </row>
    <row r="13" spans="1:8" x14ac:dyDescent="0.25">
      <c r="A13" s="9" t="s">
        <v>145</v>
      </c>
      <c r="B13" s="10" t="s">
        <v>146</v>
      </c>
      <c r="G13" s="150" t="s">
        <v>110</v>
      </c>
      <c r="H13" s="150" t="s">
        <v>118</v>
      </c>
    </row>
    <row r="14" spans="1:8" x14ac:dyDescent="0.25">
      <c r="G14" s="150" t="s">
        <v>126</v>
      </c>
      <c r="H14" s="150" t="s">
        <v>130</v>
      </c>
    </row>
    <row r="15" spans="1:8" x14ac:dyDescent="0.25">
      <c r="G15" s="150" t="s">
        <v>141</v>
      </c>
      <c r="H15" s="150" t="s">
        <v>141</v>
      </c>
    </row>
    <row r="16" spans="1:8" x14ac:dyDescent="0.25">
      <c r="G16" s="150" t="s">
        <v>150</v>
      </c>
      <c r="H16" s="150" t="s">
        <v>151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/>
  <dimension ref="A1:AL57"/>
  <sheetViews>
    <sheetView topLeftCell="C1" zoomScaleNormal="100" workbookViewId="0">
      <selection activeCell="P12" sqref="P12"/>
    </sheetView>
  </sheetViews>
  <sheetFormatPr defaultColWidth="9.140625" defaultRowHeight="15" x14ac:dyDescent="0.25"/>
  <cols>
    <col min="1" max="1" width="3.42578125" hidden="1" customWidth="1"/>
    <col min="2" max="2" width="3" hidden="1" customWidth="1"/>
    <col min="3" max="3" width="19.85546875" customWidth="1"/>
    <col min="4" max="4" width="3.7109375" customWidth="1"/>
    <col min="5" max="5" width="14.42578125" customWidth="1"/>
    <col min="7" max="7" width="10.85546875" bestFit="1" customWidth="1"/>
    <col min="8" max="8" width="7.5703125" customWidth="1"/>
    <col min="9" max="9" width="19" customWidth="1"/>
    <col min="10" max="10" width="7.85546875" customWidth="1"/>
    <col min="11" max="11" width="7.28515625" hidden="1" customWidth="1"/>
    <col min="12" max="12" width="5" hidden="1" customWidth="1"/>
    <col min="13" max="13" width="5.85546875" hidden="1" customWidth="1"/>
    <col min="14" max="14" width="6.5703125" hidden="1" customWidth="1"/>
    <col min="15" max="15" width="14.7109375" customWidth="1"/>
    <col min="17" max="17" width="22.28515625" customWidth="1"/>
    <col min="19" max="19" width="9.140625" hidden="1" customWidth="1"/>
    <col min="20" max="20" width="14.28515625" customWidth="1"/>
    <col min="21" max="21" width="14.85546875" customWidth="1"/>
    <col min="23" max="24" width="9.140625" hidden="1" customWidth="1"/>
    <col min="25" max="25" width="12" hidden="1" customWidth="1"/>
    <col min="26" max="31" width="9.140625" hidden="1" customWidth="1"/>
    <col min="32" max="32" width="16.140625" bestFit="1" customWidth="1"/>
    <col min="33" max="34" width="9.140625" hidden="1" customWidth="1"/>
    <col min="35" max="35" width="12.28515625" bestFit="1" customWidth="1"/>
    <col min="36" max="37" width="9.140625" hidden="1" customWidth="1"/>
    <col min="38" max="38" width="13.140625" bestFit="1" customWidth="1"/>
  </cols>
  <sheetData>
    <row r="1" spans="1:38" ht="18.75" thickBot="1" x14ac:dyDescent="0.3">
      <c r="A1" s="5" t="s">
        <v>48</v>
      </c>
      <c r="B1" s="1"/>
      <c r="C1" s="103" t="s">
        <v>0</v>
      </c>
      <c r="D1" s="104">
        <v>1</v>
      </c>
      <c r="E1" s="102"/>
      <c r="F1" s="102"/>
      <c r="G1" s="103" t="s">
        <v>1</v>
      </c>
      <c r="H1" s="168" t="s">
        <v>158</v>
      </c>
      <c r="I1" s="106" t="s">
        <v>2</v>
      </c>
      <c r="J1" s="104">
        <v>8</v>
      </c>
      <c r="K1" s="108"/>
      <c r="L1" s="109"/>
      <c r="M1" s="109"/>
      <c r="N1" s="110"/>
      <c r="O1" s="8"/>
      <c r="P1" s="8"/>
      <c r="Q1" s="9" t="str">
        <f>Dane!A2</f>
        <v>w</v>
      </c>
      <c r="R1" s="10" t="str">
        <f>Dane!B2</f>
        <v>dzień wolny ustawowo</v>
      </c>
      <c r="S1" s="8"/>
      <c r="T1" s="8"/>
      <c r="U1" s="123" t="str">
        <f>Dane!A9</f>
        <v>oc</v>
      </c>
      <c r="V1" s="8" t="str">
        <f>Dane!B9</f>
        <v>opieka nad chorym dzieckiem</v>
      </c>
    </row>
    <row r="2" spans="1:38" x14ac:dyDescent="0.25">
      <c r="A2" s="2"/>
      <c r="B2" s="1">
        <v>2</v>
      </c>
      <c r="C2" s="11"/>
      <c r="D2" s="11" t="s">
        <v>4</v>
      </c>
      <c r="E2" s="175" t="s">
        <v>157</v>
      </c>
      <c r="F2" s="176"/>
      <c r="G2" s="16"/>
      <c r="H2" s="17">
        <v>2</v>
      </c>
      <c r="I2" s="28" t="s">
        <v>5</v>
      </c>
      <c r="J2" s="101">
        <v>40</v>
      </c>
      <c r="K2" s="12" t="s">
        <v>6</v>
      </c>
      <c r="L2" s="13"/>
      <c r="M2" s="13"/>
      <c r="N2" s="14"/>
      <c r="O2" s="12" t="s">
        <v>6</v>
      </c>
      <c r="P2" s="8"/>
      <c r="Q2" s="9" t="str">
        <f>Dane!A3</f>
        <v>u</v>
      </c>
      <c r="R2" s="10" t="str">
        <f>Dane!B3</f>
        <v>urlop</v>
      </c>
      <c r="S2" s="8"/>
      <c r="T2" s="8"/>
      <c r="U2" s="122" t="str">
        <f>Dane!A10</f>
        <v>um</v>
      </c>
      <c r="V2" s="8" t="str">
        <f>Dane!B10</f>
        <v>urlop macierzyński</v>
      </c>
    </row>
    <row r="3" spans="1:38" x14ac:dyDescent="0.25">
      <c r="A3" s="1"/>
      <c r="B3" s="1"/>
      <c r="C3" s="15"/>
      <c r="D3" s="15" t="s">
        <v>46</v>
      </c>
      <c r="E3" s="175"/>
      <c r="F3" s="176"/>
      <c r="G3" s="16"/>
      <c r="H3" s="17"/>
      <c r="I3" s="18"/>
      <c r="J3" s="19"/>
      <c r="K3" s="20"/>
      <c r="L3" s="21"/>
      <c r="M3" s="21"/>
      <c r="N3" s="22"/>
      <c r="O3" s="20"/>
      <c r="P3" s="8"/>
      <c r="Q3" s="9" t="str">
        <f>Dane!A4</f>
        <v>c</v>
      </c>
      <c r="R3" s="10" t="str">
        <f>Dane!B4</f>
        <v>choroba</v>
      </c>
      <c r="S3" s="8"/>
      <c r="T3" s="8"/>
      <c r="U3" s="122" t="str">
        <f>Dane!A11</f>
        <v>uz</v>
      </c>
      <c r="V3" s="8" t="str">
        <f>Dane!B11</f>
        <v>urlop zaplanowany</v>
      </c>
    </row>
    <row r="4" spans="1:38" ht="15.75" thickBot="1" x14ac:dyDescent="0.3">
      <c r="A4" s="3"/>
      <c r="B4" s="1"/>
      <c r="C4" s="15"/>
      <c r="D4" s="23" t="s">
        <v>11</v>
      </c>
      <c r="E4" s="175"/>
      <c r="F4" s="176"/>
      <c r="G4" s="16"/>
      <c r="H4" s="17"/>
      <c r="I4" s="18"/>
      <c r="J4" s="19"/>
      <c r="K4" s="20"/>
      <c r="L4" s="21"/>
      <c r="M4" s="21"/>
      <c r="N4" s="22"/>
      <c r="O4" s="20"/>
      <c r="P4" s="8"/>
      <c r="Q4" s="9" t="str">
        <f>Dane!A5</f>
        <v>g</v>
      </c>
      <c r="R4" s="10" t="str">
        <f>Dane!B5</f>
        <v xml:space="preserve">godz.(rządanie pracownika) </v>
      </c>
      <c r="S4" s="8"/>
      <c r="T4" s="8"/>
      <c r="U4" s="122" t="str">
        <f>Dane!A12</f>
        <v>gp</v>
      </c>
      <c r="V4" t="str">
        <f>Dane!B12</f>
        <v xml:space="preserve">godz.(rządanie pracodawcy) </v>
      </c>
    </row>
    <row r="5" spans="1:38" x14ac:dyDescent="0.25">
      <c r="A5" s="3"/>
      <c r="B5" s="1"/>
      <c r="C5" s="15"/>
      <c r="D5" s="24"/>
      <c r="E5" s="25"/>
      <c r="F5" s="26"/>
      <c r="G5" s="27"/>
      <c r="H5" s="17"/>
      <c r="I5" s="28" t="s">
        <v>12</v>
      </c>
      <c r="J5" s="111">
        <v>0</v>
      </c>
      <c r="K5" s="29" t="s">
        <v>13</v>
      </c>
      <c r="L5" s="21"/>
      <c r="M5" s="21"/>
      <c r="N5" s="30"/>
      <c r="O5" s="29" t="s">
        <v>13</v>
      </c>
      <c r="P5" s="8"/>
      <c r="Q5" s="9" t="str">
        <f>Dane!A6</f>
        <v>s</v>
      </c>
      <c r="R5" s="10" t="str">
        <f>Dane!B6</f>
        <v>urlop specjalny/okolicznościow</v>
      </c>
      <c r="S5" s="8"/>
      <c r="T5" s="8"/>
      <c r="U5" s="9"/>
    </row>
    <row r="6" spans="1:38" x14ac:dyDescent="0.25">
      <c r="A6" s="3"/>
      <c r="B6" s="1"/>
      <c r="C6" s="15"/>
      <c r="D6" s="23"/>
      <c r="E6" s="31"/>
      <c r="F6" s="32"/>
      <c r="G6" s="33"/>
      <c r="H6" s="17"/>
      <c r="I6" s="21"/>
      <c r="J6" s="112">
        <v>0</v>
      </c>
      <c r="K6" s="29" t="s">
        <v>16</v>
      </c>
      <c r="L6" s="21"/>
      <c r="M6" s="21"/>
      <c r="N6" s="30"/>
      <c r="O6" s="29" t="s">
        <v>16</v>
      </c>
      <c r="P6" s="8"/>
      <c r="Q6" s="9" t="str">
        <f>Dane!A7</f>
        <v>a</v>
      </c>
      <c r="R6" s="10" t="str">
        <f>Dane!B7</f>
        <v>nieobecny</v>
      </c>
      <c r="S6" s="8"/>
      <c r="T6" s="8"/>
      <c r="U6" s="8"/>
    </row>
    <row r="7" spans="1:38" ht="15.75" thickBot="1" x14ac:dyDescent="0.3">
      <c r="A7" s="1"/>
      <c r="B7" s="1"/>
      <c r="C7" s="34"/>
      <c r="D7" s="35"/>
      <c r="E7" s="35"/>
      <c r="F7" s="35"/>
      <c r="G7" s="35"/>
      <c r="H7" s="17"/>
      <c r="I7" s="28" t="s">
        <v>17</v>
      </c>
      <c r="J7" s="113">
        <v>8</v>
      </c>
      <c r="K7" s="20" t="s">
        <v>18</v>
      </c>
      <c r="L7" s="21"/>
      <c r="M7" s="21"/>
      <c r="N7" s="30"/>
      <c r="O7" s="20" t="s">
        <v>18</v>
      </c>
      <c r="P7" s="8"/>
      <c r="Q7" s="9" t="str">
        <f>Dane!A8</f>
        <v>op</v>
      </c>
      <c r="R7" s="10" t="str">
        <f>Dane!B8</f>
        <v>opieka nad zdrowym dzieckiem</v>
      </c>
      <c r="S7" s="8"/>
      <c r="T7" s="8"/>
      <c r="U7" s="8"/>
    </row>
    <row r="8" spans="1:38" ht="23.25" x14ac:dyDescent="0.35">
      <c r="A8" s="2"/>
      <c r="B8" s="2"/>
      <c r="C8" s="99" t="s">
        <v>45</v>
      </c>
      <c r="D8" s="7"/>
      <c r="E8" s="7"/>
      <c r="F8" s="100" t="str">
        <f>TEXT(DATE(H1,D1,1),"MMMM rrrr")</f>
        <v>styczeń 2026</v>
      </c>
      <c r="G8" s="36"/>
      <c r="H8" s="37"/>
      <c r="I8" s="38"/>
      <c r="J8" s="39"/>
      <c r="K8" s="39"/>
      <c r="L8" s="39"/>
      <c r="M8" s="39"/>
      <c r="N8" s="40"/>
      <c r="O8" s="41"/>
      <c r="P8" s="42"/>
      <c r="Q8" s="9"/>
      <c r="R8" s="10"/>
      <c r="S8" s="41"/>
      <c r="T8" s="41"/>
      <c r="U8" s="42"/>
    </row>
    <row r="9" spans="1:38" ht="15.75" thickBot="1" x14ac:dyDescent="0.3">
      <c r="A9" s="2"/>
      <c r="B9" s="2"/>
      <c r="C9" s="43"/>
      <c r="D9" s="44" t="s">
        <v>21</v>
      </c>
      <c r="E9" s="45" t="str">
        <f>TEXT(F9,"DDDD ")</f>
        <v xml:space="preserve">czwartek </v>
      </c>
      <c r="F9" s="45">
        <f>DATE(H1,D1,1)</f>
        <v>46023</v>
      </c>
      <c r="G9" s="44" t="s">
        <v>22</v>
      </c>
      <c r="H9" s="46" t="str">
        <f>TEXT(I9,"DDDD ")</f>
        <v xml:space="preserve">sobota </v>
      </c>
      <c r="I9" s="45">
        <f>DATE(YEAR(F9),MONTH(F9+31),DAY(F9))-1</f>
        <v>46053</v>
      </c>
      <c r="J9" s="47"/>
      <c r="K9" s="47"/>
      <c r="L9" s="47"/>
      <c r="M9" s="47"/>
      <c r="N9" s="30"/>
      <c r="O9" s="48"/>
      <c r="P9" s="49"/>
      <c r="Q9" s="48"/>
      <c r="R9" s="49"/>
      <c r="S9" s="48"/>
      <c r="T9" s="48"/>
      <c r="U9" s="49"/>
      <c r="Y9" s="153"/>
    </row>
    <row r="10" spans="1:38" ht="52.5" thickBot="1" x14ac:dyDescent="0.3">
      <c r="A10" s="4"/>
      <c r="B10" s="4"/>
      <c r="C10" s="50" t="s">
        <v>23</v>
      </c>
      <c r="D10" s="51"/>
      <c r="E10" s="51" t="s">
        <v>24</v>
      </c>
      <c r="F10" s="51" t="s">
        <v>25</v>
      </c>
      <c r="G10" s="51" t="s">
        <v>26</v>
      </c>
      <c r="H10" s="51" t="s">
        <v>27</v>
      </c>
      <c r="I10" s="51" t="s">
        <v>137</v>
      </c>
      <c r="J10" s="51" t="s">
        <v>28</v>
      </c>
      <c r="K10" s="51"/>
      <c r="L10" s="51" t="s">
        <v>100</v>
      </c>
      <c r="M10" s="51"/>
      <c r="N10" s="52"/>
      <c r="O10" s="51" t="s">
        <v>29</v>
      </c>
      <c r="P10" s="51" t="s">
        <v>105</v>
      </c>
      <c r="Q10" s="136" t="s">
        <v>101</v>
      </c>
      <c r="R10" s="53"/>
      <c r="S10" s="51"/>
      <c r="T10" s="114" t="s">
        <v>49</v>
      </c>
      <c r="U10" s="114" t="s">
        <v>50</v>
      </c>
      <c r="W10" t="s">
        <v>138</v>
      </c>
      <c r="X10" t="s">
        <v>139</v>
      </c>
      <c r="Y10" t="s">
        <v>140</v>
      </c>
      <c r="AF10" s="171" t="s">
        <v>152</v>
      </c>
      <c r="AG10" s="172"/>
      <c r="AH10" s="172"/>
      <c r="AI10" s="172" t="s">
        <v>153</v>
      </c>
      <c r="AJ10" s="172"/>
      <c r="AK10" s="172"/>
      <c r="AL10" s="172" t="s">
        <v>154</v>
      </c>
    </row>
    <row r="11" spans="1:38" ht="15.75" x14ac:dyDescent="0.25">
      <c r="A11" s="2">
        <f>DATE(H1,D1,1)</f>
        <v>46023</v>
      </c>
      <c r="B11" s="2">
        <f>CODE(TEXT(A11,"TTTT"))</f>
        <v>84</v>
      </c>
      <c r="C11" s="54" t="str">
        <f>TEXT(A11,"DD.M. DDDD")</f>
        <v>01.1. czwartek</v>
      </c>
      <c r="D11" s="159" t="s">
        <v>47</v>
      </c>
      <c r="E11" s="117" t="str">
        <f>IF(D11="w","wolne",IF(D11="u","urlop",IF(D11="c","choroba",IF(D11="um","urlop macierzynski",IF(D11="oc","opieka nad chorym dzieckiem",IF(D11="s","urlop specjalny",IF(D11="g","godziny",IF(D11="a","nieobecny",IF(D11="op","opieka"," ")))))))))</f>
        <v>wolne</v>
      </c>
      <c r="F11" s="115"/>
      <c r="G11" s="115"/>
      <c r="H11" s="55" t="str">
        <f t="shared" ref="H11:H41" si="0">IF(D11="d",(((((TRUNC(G11)-1)-TRUNC(F11))*60)+((G11-TRUNC(G11))*100)+(60-(F11-TRUNC(F11))*100))-(IF(M11&lt;przerwa1,pause,przerwa1)))/60,IF((OR((B11=83),(D11="u"),(D11="uz"),(D11="a"),(D11="c"),(D11="s"),(AND(D11="w",F11="")),(D11="oc"),(D11="um"),(D11="op"),(D11="oc"))),"",IF(OR(D11="g",AND(D11="gp",F11="")),0,TRUNC((((TRUNC(G11)*60+(G11-(TRUNC(G11)))*100)-(TRUNC(F11)*60+(F11-TRUNC(F11))*100))-(IF(M11&lt;przerwa1,pause,przerwa1)))/60)+(((((TRUNC(G11)*60+(G11-(TRUNC(G11)))*100)-(TRUNC(F11)*60+(F11-TRUNC(F11))*100))-(IF(M11&lt;przerwa1,pause,przerwa1)))/60)-TRUNC(((((TRUNC(G11)*60+(G11-(TRUNC(G11)))*100)-(TRUNC(F11)*60+(F11-TRUNC(F11))*100))-(IF(M11&lt;przerwa1,pause,przerwa1)))/60)))*60/100)))</f>
        <v/>
      </c>
      <c r="I11" s="55" t="str">
        <f t="shared" ref="I11:I41" si="1">IF(AND(D11="gp",F11=""),-(TRUNC(godz/1.5)+((godz/1.5)-TRUNC(godz/1.5))*60/100),IF(AND(D11="gp",F11&lt;&gt;"",G11&lt;&gt;""),ROUND(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+(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-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)*60/100,2),IF(OR((B11=83),(D11="w"),(D11="s"),(D11="c"),(D11="a"),(D11="oc"),(D11="um"),(D11="op"),(D11="uz"),(D11="u")),"",ROUND((TRUNC(H11-godz)+(((TRUNC(H11)*60)+(H11-TRUNC(H11))*100)-(godz*60)-(TRUNC(H11-godz)*60))/100),2))))</f>
        <v/>
      </c>
      <c r="J11" s="56" t="str">
        <f t="shared" ref="J11:J16" si="2">IF(D11="gp",(TRUNC(I11)*60+(I11-TRUNC(I11))*100),IF(OR((I11=""),(B11=83)),"",IF((I11=0),0,TRUNC(H11-godz)*60+(((TRUNC(H11)*60)+(H11-TRUNC(H11))*100)-(godz*60)-(TRUNC(H11-godz)*60)))))</f>
        <v/>
      </c>
      <c r="K11" s="57">
        <f>IF(OR((B11=83),(D11="w")),0,1)</f>
        <v>0</v>
      </c>
      <c r="L11" s="57">
        <f>IF(OR((D11="c"),(D11="u"),(D11="uz"),(D11="um"),(D11="op"),(D11="oc"),(D11="s")),1,0)</f>
        <v>0</v>
      </c>
      <c r="M11" s="58" t="str">
        <f t="shared" ref="M11:M42" si="3">IF(((((((TRUNC(G11)-1)-TRUNC(F11))*60)+((G11-TRUNC(G11))*100)+(60-(F11-TRUNC(F11))*100)))/100)&lt;pause2,"przerwa1","pause")</f>
        <v>przerwa1</v>
      </c>
      <c r="N11" s="57">
        <f>IF(OR((B11=83),(D11="w"),(D11="g"),(D11="c"),(D11="u"),(D11="uz"),(D11="op"),(D11="oc")),0,1)</f>
        <v>0</v>
      </c>
      <c r="O11" s="137"/>
      <c r="P11" s="149"/>
      <c r="Q11" s="137"/>
      <c r="R11" s="8"/>
      <c r="S11" s="60" t="str">
        <f>IF(D11="gp",(TRUNC(I11)*60+(I11-TRUNC(I11))*100),IF(H11&lt;&gt;"",IF(D11="w",((TRUNC(H11)*60)+(H11-TRUNC(H11))*100),((TRUNC(H11)*60+(H11-TRUNC(H11))*100)-pause2*60-O11))," "))</f>
        <v xml:space="preserve"> </v>
      </c>
      <c r="T11" s="60" t="str">
        <f>IF(S11&gt;0,S11," ")</f>
        <v xml:space="preserve"> </v>
      </c>
      <c r="U11" s="60" t="str">
        <f>IF(S11&lt;0,S11," ")</f>
        <v xml:space="preserve"> </v>
      </c>
      <c r="W11">
        <f>IF(H11="",0,TRUNC(H11)*60)</f>
        <v>0</v>
      </c>
      <c r="X11">
        <f>IF(H11="",0,ROUND((H11-TRUNC(H11))*100,0)-O11)</f>
        <v>0</v>
      </c>
      <c r="Y11">
        <f>IF(D11="gp",(TRUNC(I11)*60+(I11-TRUNC(I11))*100),(IF(D11="g",(TRUNC(I11)*60+(I11-TRUNC(I11))*100),W11+X11)))</f>
        <v>0</v>
      </c>
      <c r="AD11" s="158">
        <f t="shared" ref="AD11:AD12" si="4">TRUNC(F11)</f>
        <v>0</v>
      </c>
      <c r="AE11" s="158">
        <f t="shared" ref="AE11:AE12" si="5">F11-TRUNC(F11)</f>
        <v>0</v>
      </c>
      <c r="AF11" s="64" t="str">
        <f t="shared" ref="AF11:AF12" si="6">IF(F11&lt;&gt;0,AD11+(AE11/0.6)," ")</f>
        <v xml:space="preserve"> </v>
      </c>
      <c r="AG11" s="169">
        <f t="shared" ref="AG11:AG12" si="7">TRUNC(G11)</f>
        <v>0</v>
      </c>
      <c r="AH11" s="169">
        <f t="shared" ref="AH11:AH12" si="8">G11-TRUNC(G11)</f>
        <v>0</v>
      </c>
      <c r="AI11" s="64" t="str">
        <f t="shared" ref="AI11:AI12" si="9">IF(G11&lt;&gt;0,AG11+(AH11/0.6)," ")</f>
        <v xml:space="preserve"> </v>
      </c>
      <c r="AJ11" s="169" t="str">
        <f t="shared" ref="AJ11:AJ12" si="10">IF(H11&lt;&gt;"",TRUNC(H11),"")</f>
        <v/>
      </c>
      <c r="AK11" s="169"/>
      <c r="AL11" s="64" t="str">
        <f t="shared" ref="AL11:AL12" si="11">IF(H11&lt;&gt;"",AJ11+(AK11/0.6)," ")</f>
        <v xml:space="preserve"> </v>
      </c>
    </row>
    <row r="12" spans="1:38" ht="15.75" customHeight="1" x14ac:dyDescent="0.25">
      <c r="A12" s="2">
        <f>(A11+1)</f>
        <v>46024</v>
      </c>
      <c r="B12" s="2">
        <f t="shared" ref="B12:B41" si="12">CODE(TEXT(A12,"TTTT"))</f>
        <v>84</v>
      </c>
      <c r="C12" s="54" t="str">
        <f t="shared" ref="C12:C41" si="13">TEXT(A12,"DD.M. DDDD")</f>
        <v>02.1. piątek</v>
      </c>
      <c r="D12" s="159" t="s">
        <v>7</v>
      </c>
      <c r="E12" s="117" t="str">
        <f>IF(D12="w","wolne",IF(D12="u","urlop",IF(D12="c","choroba",IF(D12="um","urlop macierzynski",IF(D12="oc","opieka nad chorym dzieckiem",IF(D12="s","urlop specjalny",IF(D12="g","godziny",IF(D12="a","nieobecny",IF(D12="op","opieka"," ")))))))))</f>
        <v>urlop</v>
      </c>
      <c r="F12" s="115"/>
      <c r="G12" s="115"/>
      <c r="H12" s="55" t="str">
        <f t="shared" si="0"/>
        <v/>
      </c>
      <c r="I12" s="55" t="str">
        <f t="shared" si="1"/>
        <v/>
      </c>
      <c r="J12" s="56" t="str">
        <f t="shared" si="2"/>
        <v/>
      </c>
      <c r="K12" s="57">
        <f t="shared" ref="K12:K41" si="14">IF(OR((B12=83),(D12="w")),0,1)</f>
        <v>1</v>
      </c>
      <c r="L12" s="57">
        <f t="shared" ref="L12:L41" si="15">IF(OR((D12="c"),(D12="u"),(D12="uz"),(D12="um"),(D12="op"),(D12="oc"),(D12="s")),1,0)</f>
        <v>1</v>
      </c>
      <c r="M12" s="58" t="str">
        <f t="shared" si="3"/>
        <v>przerwa1</v>
      </c>
      <c r="N12" s="57">
        <f t="shared" ref="N12:N41" si="16">IF(OR((B12=83),(D12="w"),(D12="g"),(D12="c"),(D12="u"),(D12="uz"),(D12="op"),(D12="oc")),0,1)</f>
        <v>0</v>
      </c>
      <c r="O12" s="138"/>
      <c r="P12" s="149"/>
      <c r="Q12" s="138"/>
      <c r="R12" s="8"/>
      <c r="S12" s="60" t="str">
        <f t="shared" ref="S12:S41" si="17">IF(H12&lt;&gt;"",IF(D12="w",((TRUNC(H12)*60)+(H12-TRUNC(H12))*100),((TRUNC(H12)*60+(H12-TRUNC(H12))*100)-pause2*60-O12))," ")</f>
        <v xml:space="preserve"> </v>
      </c>
      <c r="T12" s="60" t="str">
        <f t="shared" ref="T12:T41" si="18">IF(S12&gt;0,S12," ")</f>
        <v xml:space="preserve"> </v>
      </c>
      <c r="U12" s="60" t="str">
        <f t="shared" ref="U12:U41" si="19">IF(S12&lt;0,S12," ")</f>
        <v xml:space="preserve"> </v>
      </c>
      <c r="W12">
        <f t="shared" ref="W12:W41" si="20">IF(H12="",0,TRUNC(H12)*60)</f>
        <v>0</v>
      </c>
      <c r="X12">
        <f t="shared" ref="X12:X41" si="21">IF(H12="",0,ROUND((H12-TRUNC(H12))*100,0)-O12)</f>
        <v>0</v>
      </c>
      <c r="Y12">
        <f t="shared" ref="Y12:Y41" si="22">IF(D12="gp",(TRUNC(I12)*60+(I12-TRUNC(I12))*100),(IF(D12="g",(TRUNC(I12)*60+(I12-TRUNC(I12))*100),W12+X12)))</f>
        <v>0</v>
      </c>
      <c r="AD12" s="158">
        <f t="shared" si="4"/>
        <v>0</v>
      </c>
      <c r="AE12" s="158">
        <f t="shared" si="5"/>
        <v>0</v>
      </c>
      <c r="AF12" s="64" t="str">
        <f t="shared" si="6"/>
        <v xml:space="preserve"> </v>
      </c>
      <c r="AG12" s="169">
        <f t="shared" si="7"/>
        <v>0</v>
      </c>
      <c r="AH12" s="169">
        <f t="shared" si="8"/>
        <v>0</v>
      </c>
      <c r="AI12" s="64" t="str">
        <f t="shared" si="9"/>
        <v xml:space="preserve"> </v>
      </c>
      <c r="AJ12" s="169" t="str">
        <f t="shared" si="10"/>
        <v/>
      </c>
      <c r="AK12" s="169" t="str">
        <f>IF(H12&lt;&gt;"",H12-AJ12,"")</f>
        <v/>
      </c>
      <c r="AL12" s="64" t="str">
        <f t="shared" si="11"/>
        <v xml:space="preserve"> </v>
      </c>
    </row>
    <row r="13" spans="1:38" ht="15.75" customHeight="1" x14ac:dyDescent="0.25">
      <c r="A13" s="2">
        <f t="shared" ref="A13:A41" si="23">(A12+1)</f>
        <v>46025</v>
      </c>
      <c r="B13" s="2">
        <f t="shared" si="12"/>
        <v>84</v>
      </c>
      <c r="C13" s="54" t="str">
        <f t="shared" si="13"/>
        <v>03.1. sobota</v>
      </c>
      <c r="D13" s="159" t="s">
        <v>47</v>
      </c>
      <c r="E13" s="117" t="str">
        <f>IF(D13="w","wolne",IF(D13="u","urlop",IF(D13="c","choroba",IF(D13="um","urlop macierzynski",IF(D13="oc","opieka nad chorym dzieckiem",IF(D13="s","urlop specjalny",IF(D13="g","godziny",IF(D13="a","nieobecny",IF(D13="op","opieka"," ")))))))))</f>
        <v>wolne</v>
      </c>
      <c r="F13" s="115"/>
      <c r="G13" s="115"/>
      <c r="H13" s="55" t="str">
        <f t="shared" si="0"/>
        <v/>
      </c>
      <c r="I13" s="55" t="str">
        <f t="shared" si="1"/>
        <v/>
      </c>
      <c r="J13" s="56" t="str">
        <f t="shared" si="2"/>
        <v/>
      </c>
      <c r="K13" s="57">
        <f t="shared" si="14"/>
        <v>0</v>
      </c>
      <c r="L13" s="57">
        <f t="shared" si="15"/>
        <v>0</v>
      </c>
      <c r="M13" s="58" t="str">
        <f t="shared" si="3"/>
        <v>przerwa1</v>
      </c>
      <c r="N13" s="57">
        <f t="shared" si="16"/>
        <v>0</v>
      </c>
      <c r="O13" s="138"/>
      <c r="P13" s="149"/>
      <c r="Q13" s="138"/>
      <c r="R13" s="8"/>
      <c r="S13" s="60" t="str">
        <f t="shared" si="17"/>
        <v xml:space="preserve"> </v>
      </c>
      <c r="T13" s="60" t="str">
        <f t="shared" si="18"/>
        <v xml:space="preserve"> </v>
      </c>
      <c r="U13" s="60" t="str">
        <f t="shared" si="19"/>
        <v xml:space="preserve"> </v>
      </c>
      <c r="W13">
        <f t="shared" si="20"/>
        <v>0</v>
      </c>
      <c r="X13">
        <f t="shared" si="21"/>
        <v>0</v>
      </c>
      <c r="Y13">
        <f t="shared" si="22"/>
        <v>0</v>
      </c>
      <c r="AD13" s="158">
        <f>TRUNC(F13)</f>
        <v>0</v>
      </c>
      <c r="AE13" s="158">
        <f>F13-TRUNC(F13)</f>
        <v>0</v>
      </c>
      <c r="AF13" s="64" t="str">
        <f>IF(F13&lt;&gt;0,AD13+(AE13/0.6)," ")</f>
        <v xml:space="preserve"> </v>
      </c>
      <c r="AG13" s="169">
        <f>TRUNC(G13)</f>
        <v>0</v>
      </c>
      <c r="AH13" s="169">
        <f>G13-TRUNC(G13)</f>
        <v>0</v>
      </c>
      <c r="AI13" s="64" t="str">
        <f>IF(G13&lt;&gt;0,AG13+(AH13/0.6)," ")</f>
        <v xml:space="preserve"> </v>
      </c>
      <c r="AJ13" s="169" t="str">
        <f>IF(H13&lt;&gt;"",TRUNC(H13),"")</f>
        <v/>
      </c>
      <c r="AK13" s="169" t="str">
        <f>IF(H13&lt;&gt;"",H13-AJ13,"")</f>
        <v/>
      </c>
      <c r="AL13" s="64" t="str">
        <f>IF(H13&lt;&gt;"",AJ13+(AK13/0.6)," ")</f>
        <v xml:space="preserve"> </v>
      </c>
    </row>
    <row r="14" spans="1:38" ht="15.75" customHeight="1" x14ac:dyDescent="0.25">
      <c r="A14" s="2">
        <f t="shared" si="23"/>
        <v>46026</v>
      </c>
      <c r="B14" s="2">
        <f t="shared" si="12"/>
        <v>84</v>
      </c>
      <c r="C14" s="54" t="str">
        <f t="shared" si="13"/>
        <v>04.1. niedziela</v>
      </c>
      <c r="D14" s="159" t="s">
        <v>47</v>
      </c>
      <c r="E14" s="117" t="str">
        <f>IF(D14="w","wolne",IF(D14="u","urlop",IF(D14="c","choroba",IF(D14="um","urlop macierzynski",IF(D14="oc","opieka nad chorym dzieckiem",IF(D14="s","urlop specjalny",IF(D14="g","godziny",IF(D14="a","nieobecny",IF(D14="op","opieka"," ")))))))))</f>
        <v>wolne</v>
      </c>
      <c r="F14" s="115"/>
      <c r="G14" s="115"/>
      <c r="H14" s="55" t="str">
        <f t="shared" ref="H14" si="24">IF(D14="d",(((((TRUNC(G14)-1)-TRUNC(F14))*60)+((G14-TRUNC(G14))*100)+(60-(F14-TRUNC(F14))*100))-(IF(M14&lt;przerwa1,pause,przerwa1)))/60,IF((OR((B14=83),(D14="u"),(D14="uz"),(D14="a"),(D14="c"),(D14="s"),(AND(D14="w",F14="")),(D14="oc"),(D14="um"),(D14="op"),(D14="oc"))),"",IF(OR(D14="g",AND(D14="gp",F14="")),0,TRUNC((((TRUNC(G14)*60+(G14-(TRUNC(G14)))*100)-(TRUNC(F14)*60+(F14-TRUNC(F14))*100))-(IF(M14&lt;przerwa1,pause,przerwa1)))/60)+(((((TRUNC(G14)*60+(G14-(TRUNC(G14)))*100)-(TRUNC(F14)*60+(F14-TRUNC(F14))*100))-(IF(M14&lt;przerwa1,pause,przerwa1)))/60)-TRUNC(((((TRUNC(G14)*60+(G14-(TRUNC(G14)))*100)-(TRUNC(F14)*60+(F14-TRUNC(F14))*100))-(IF(M14&lt;przerwa1,pause,przerwa1)))/60)))*60/100)))</f>
        <v/>
      </c>
      <c r="I14" s="55" t="str">
        <f t="shared" si="1"/>
        <v/>
      </c>
      <c r="J14" s="56" t="str">
        <f t="shared" si="2"/>
        <v/>
      </c>
      <c r="K14" s="57">
        <f t="shared" si="14"/>
        <v>0</v>
      </c>
      <c r="L14" s="57">
        <f t="shared" si="15"/>
        <v>0</v>
      </c>
      <c r="M14" s="58" t="str">
        <f t="shared" si="3"/>
        <v>przerwa1</v>
      </c>
      <c r="N14" s="57">
        <f t="shared" si="16"/>
        <v>0</v>
      </c>
      <c r="O14" s="138"/>
      <c r="P14" s="149"/>
      <c r="Q14" s="138"/>
      <c r="R14" s="8"/>
      <c r="S14" s="60" t="str">
        <f t="shared" si="17"/>
        <v xml:space="preserve"> </v>
      </c>
      <c r="T14" s="60" t="str">
        <f t="shared" si="18"/>
        <v xml:space="preserve"> </v>
      </c>
      <c r="U14" s="60" t="str">
        <f t="shared" si="19"/>
        <v xml:space="preserve"> </v>
      </c>
      <c r="W14">
        <f t="shared" si="20"/>
        <v>0</v>
      </c>
      <c r="X14">
        <f t="shared" si="21"/>
        <v>0</v>
      </c>
      <c r="Y14">
        <f t="shared" si="22"/>
        <v>0</v>
      </c>
      <c r="AD14" s="158">
        <f t="shared" ref="AD14:AD41" si="25">TRUNC(F14)</f>
        <v>0</v>
      </c>
      <c r="AE14" s="158">
        <f t="shared" ref="AE14:AE41" si="26">F14-TRUNC(F14)</f>
        <v>0</v>
      </c>
      <c r="AF14" s="64" t="str">
        <f t="shared" ref="AF14:AF41" si="27">IF(F14&lt;&gt;0,AD14+(AE14/0.6)," ")</f>
        <v xml:space="preserve"> </v>
      </c>
      <c r="AG14" s="169">
        <f t="shared" ref="AG14:AG41" si="28">TRUNC(G14)</f>
        <v>0</v>
      </c>
      <c r="AH14" s="169">
        <f t="shared" ref="AH14:AH41" si="29">G14-TRUNC(G14)</f>
        <v>0</v>
      </c>
      <c r="AI14" s="64" t="str">
        <f t="shared" ref="AI14:AI41" si="30">IF(G14&lt;&gt;0,AG14+(AH14/0.6)," ")</f>
        <v xml:space="preserve"> </v>
      </c>
      <c r="AJ14" s="169" t="str">
        <f t="shared" ref="AJ14:AJ41" si="31">IF(H14&lt;&gt;"",TRUNC(H14),"")</f>
        <v/>
      </c>
      <c r="AK14" s="169" t="str">
        <f t="shared" ref="AK14:AK41" si="32">IF(H14&lt;&gt;"",H14-AJ14,"")</f>
        <v/>
      </c>
      <c r="AL14" s="64" t="str">
        <f t="shared" ref="AL14:AL41" si="33">IF(H14&lt;&gt;"",AJ14+(AK14/0.6)," ")</f>
        <v xml:space="preserve"> </v>
      </c>
    </row>
    <row r="15" spans="1:38" ht="15.75" customHeight="1" x14ac:dyDescent="0.25">
      <c r="A15" s="2">
        <f t="shared" si="23"/>
        <v>46027</v>
      </c>
      <c r="B15" s="2">
        <f t="shared" si="12"/>
        <v>84</v>
      </c>
      <c r="C15" s="54" t="str">
        <f t="shared" si="13"/>
        <v>05.1. poniedziałek</v>
      </c>
      <c r="D15" s="159" t="s">
        <v>7</v>
      </c>
      <c r="E15" s="117" t="str">
        <f t="shared" ref="E15:E41" si="34">IF(D15="w","wolne",IF(D15="u","urlop",IF(D15="c","choroba",IF(D15="um","urlop macierzynski",IF(D15="oc","opieka nad chorym dzieckiem",IF(D15="s","urlop specjalny",IF(D15="g","godziny",IF(D15="a","nieobecny",IF(D15="op","opieka"," ")))))))))</f>
        <v>urlop</v>
      </c>
      <c r="F15" s="115"/>
      <c r="G15" s="115"/>
      <c r="H15" s="55" t="str">
        <f t="shared" ref="H15" si="35">IF(D15="d",(((((TRUNC(G15)-1)-TRUNC(F15))*60)+((G15-TRUNC(G15))*100)+(60-(F15-TRUNC(F15))*100))-(IF(M15&lt;przerwa1,pause,przerwa1)))/60,IF((OR((B15=83),(D15="u"),(D15="uz"),(D15="a"),(D15="c"),(D15="s"),(AND(D15="w",F15="")),(D15="oc"),(D15="um"),(D15="op"),(D15="oc"))),"",IF(OR(D15="g",AND(D15="gp",F15="")),0,TRUNC((((TRUNC(G15)*60+(G15-(TRUNC(G15)))*100)-(TRUNC(F15)*60+(F15-TRUNC(F15))*100))-(IF(M15&lt;przerwa1,pause,przerwa1)))/60)+(((((TRUNC(G15)*60+(G15-(TRUNC(G15)))*100)-(TRUNC(F15)*60+(F15-TRUNC(F15))*100))-(IF(M15&lt;przerwa1,pause,przerwa1)))/60)-TRUNC(((((TRUNC(G15)*60+(G15-(TRUNC(G15)))*100)-(TRUNC(F15)*60+(F15-TRUNC(F15))*100))-(IF(M15&lt;przerwa1,pause,przerwa1)))/60)))*60/100)))</f>
        <v/>
      </c>
      <c r="I15" s="55" t="str">
        <f t="shared" si="1"/>
        <v/>
      </c>
      <c r="J15" s="56" t="str">
        <f t="shared" si="2"/>
        <v/>
      </c>
      <c r="K15" s="57">
        <f t="shared" si="14"/>
        <v>1</v>
      </c>
      <c r="L15" s="57">
        <f t="shared" si="15"/>
        <v>1</v>
      </c>
      <c r="M15" s="58" t="str">
        <f t="shared" si="3"/>
        <v>przerwa1</v>
      </c>
      <c r="N15" s="57">
        <f t="shared" si="16"/>
        <v>0</v>
      </c>
      <c r="O15" s="138"/>
      <c r="P15" s="149"/>
      <c r="Q15" s="138"/>
      <c r="R15" s="8"/>
      <c r="S15" s="60" t="str">
        <f t="shared" si="17"/>
        <v xml:space="preserve"> </v>
      </c>
      <c r="T15" s="60" t="str">
        <f t="shared" si="18"/>
        <v xml:space="preserve"> </v>
      </c>
      <c r="U15" s="60" t="str">
        <f t="shared" si="19"/>
        <v xml:space="preserve"> </v>
      </c>
      <c r="W15">
        <f t="shared" si="20"/>
        <v>0</v>
      </c>
      <c r="X15">
        <f t="shared" si="21"/>
        <v>0</v>
      </c>
      <c r="Y15">
        <f t="shared" si="22"/>
        <v>0</v>
      </c>
      <c r="AD15" s="158">
        <f t="shared" si="25"/>
        <v>0</v>
      </c>
      <c r="AE15" s="158">
        <f t="shared" si="26"/>
        <v>0</v>
      </c>
      <c r="AF15" s="64" t="str">
        <f t="shared" si="27"/>
        <v xml:space="preserve"> </v>
      </c>
      <c r="AG15" s="169">
        <f t="shared" si="28"/>
        <v>0</v>
      </c>
      <c r="AH15" s="169">
        <f t="shared" si="29"/>
        <v>0</v>
      </c>
      <c r="AI15" s="64" t="str">
        <f t="shared" si="30"/>
        <v xml:space="preserve"> </v>
      </c>
      <c r="AJ15" s="169" t="str">
        <f t="shared" si="31"/>
        <v/>
      </c>
      <c r="AK15" s="169" t="str">
        <f t="shared" si="32"/>
        <v/>
      </c>
      <c r="AL15" s="64" t="str">
        <f t="shared" si="33"/>
        <v xml:space="preserve"> </v>
      </c>
    </row>
    <row r="16" spans="1:38" ht="15.75" x14ac:dyDescent="0.25">
      <c r="A16" s="2">
        <f t="shared" si="23"/>
        <v>46028</v>
      </c>
      <c r="B16" s="2">
        <f t="shared" si="12"/>
        <v>84</v>
      </c>
      <c r="C16" s="54" t="str">
        <f t="shared" si="13"/>
        <v>06.1. wtorek</v>
      </c>
      <c r="D16" s="159" t="s">
        <v>47</v>
      </c>
      <c r="E16" s="117" t="str">
        <f t="shared" si="34"/>
        <v>wolne</v>
      </c>
      <c r="F16" s="115"/>
      <c r="G16" s="115"/>
      <c r="H16" s="55" t="str">
        <f t="shared" ref="H16:H18" si="36">IF(D16="d",(((((TRUNC(G16)-1)-TRUNC(F16))*60)+((G16-TRUNC(G16))*100)+(60-(F16-TRUNC(F16))*100))-(IF(M16&lt;przerwa1,pause,przerwa1)))/60,IF((OR((B16=83),(D16="u"),(D16="uz"),(D16="a"),(D16="c"),(D16="s"),(AND(D16="w",F16="")),(D16="oc"),(D16="um"),(D16="op"),(D16="oc"))),"",IF(OR(D16="g",AND(D16="gp",F16="")),0,TRUNC((((TRUNC(G16)*60+(G16-(TRUNC(G16)))*100)-(TRUNC(F16)*60+(F16-TRUNC(F16))*100))-(IF(M16&lt;przerwa1,pause,przerwa1)))/60)+(((((TRUNC(G16)*60+(G16-(TRUNC(G16)))*100)-(TRUNC(F16)*60+(F16-TRUNC(F16))*100))-(IF(M16&lt;przerwa1,pause,przerwa1)))/60)-TRUNC(((((TRUNC(G16)*60+(G16-(TRUNC(G16)))*100)-(TRUNC(F16)*60+(F16-TRUNC(F16))*100))-(IF(M16&lt;przerwa1,pause,przerwa1)))/60)))*60/100)))</f>
        <v/>
      </c>
      <c r="I16" s="55" t="str">
        <f t="shared" si="1"/>
        <v/>
      </c>
      <c r="J16" s="56" t="str">
        <f t="shared" si="2"/>
        <v/>
      </c>
      <c r="K16" s="57">
        <f t="shared" si="14"/>
        <v>0</v>
      </c>
      <c r="L16" s="57">
        <f t="shared" si="15"/>
        <v>0</v>
      </c>
      <c r="M16" s="58" t="str">
        <f t="shared" si="3"/>
        <v>przerwa1</v>
      </c>
      <c r="N16" s="57">
        <f t="shared" si="16"/>
        <v>0</v>
      </c>
      <c r="O16" s="138"/>
      <c r="P16" s="149"/>
      <c r="Q16" s="138"/>
      <c r="R16" s="8"/>
      <c r="S16" s="60" t="str">
        <f t="shared" si="17"/>
        <v xml:space="preserve"> </v>
      </c>
      <c r="T16" s="60" t="str">
        <f t="shared" si="18"/>
        <v xml:space="preserve"> </v>
      </c>
      <c r="U16" s="60" t="str">
        <f t="shared" si="19"/>
        <v xml:space="preserve"> </v>
      </c>
      <c r="W16">
        <f t="shared" si="20"/>
        <v>0</v>
      </c>
      <c r="X16">
        <f t="shared" si="21"/>
        <v>0</v>
      </c>
      <c r="Y16">
        <f t="shared" si="22"/>
        <v>0</v>
      </c>
      <c r="AD16" s="158">
        <f t="shared" si="25"/>
        <v>0</v>
      </c>
      <c r="AE16" s="158">
        <f t="shared" si="26"/>
        <v>0</v>
      </c>
      <c r="AF16" s="64" t="str">
        <f t="shared" si="27"/>
        <v xml:space="preserve"> </v>
      </c>
      <c r="AG16" s="169">
        <f t="shared" si="28"/>
        <v>0</v>
      </c>
      <c r="AH16" s="169">
        <f t="shared" si="29"/>
        <v>0</v>
      </c>
      <c r="AI16" s="64" t="str">
        <f t="shared" si="30"/>
        <v xml:space="preserve"> </v>
      </c>
      <c r="AJ16" s="169" t="str">
        <f t="shared" si="31"/>
        <v/>
      </c>
      <c r="AK16" s="169" t="str">
        <f t="shared" si="32"/>
        <v/>
      </c>
      <c r="AL16" s="64" t="str">
        <f t="shared" si="33"/>
        <v xml:space="preserve"> </v>
      </c>
    </row>
    <row r="17" spans="1:38" ht="15.75" x14ac:dyDescent="0.25">
      <c r="A17" s="2">
        <f t="shared" si="23"/>
        <v>46029</v>
      </c>
      <c r="B17" s="2">
        <f t="shared" si="12"/>
        <v>84</v>
      </c>
      <c r="C17" s="54" t="str">
        <f t="shared" si="13"/>
        <v>07.1. środa</v>
      </c>
      <c r="D17" s="159"/>
      <c r="E17" s="117" t="str">
        <f t="shared" si="34"/>
        <v xml:space="preserve"> </v>
      </c>
      <c r="F17" s="115">
        <v>8</v>
      </c>
      <c r="G17" s="115">
        <v>16</v>
      </c>
      <c r="H17" s="55">
        <f t="shared" si="36"/>
        <v>8</v>
      </c>
      <c r="I17" s="55">
        <f t="shared" ref="I17:I18" si="37">IF(AND(D17="gp",F17=""),-(TRUNC(godz/1.5)+((godz/1.5)-TRUNC(godz/1.5))*60/100),IF(AND(D17="gp",F17&lt;&gt;"",G17&lt;&gt;""),ROUND(TRUNC((TRUNC(ROUND((TRUNC(H17-godz)+(((TRUNC(H17)*60)+(H17-TRUNC(H17))*100)-(godz*60)-(TRUNC(H17-godz)*60))/100),2))+((ROUND((TRUNC(H17-godz)+(((TRUNC(H17)*60)+(H17-TRUNC(H17))*100)-(godz*60)-(TRUNC(H17-godz)*60))/100),2)-TRUNC(ROUND((TRUNC(H17-godz)+(((TRUNC(H17)*60)+(H17-TRUNC(H17))*100)-(godz*60)-(TRUNC(H17-godz)*60))/100),2)))*100/60))/1.5)+(((TRUNC(ROUND((TRUNC(H17-godz)+(((TRUNC(H17)*60)+(H17-TRUNC(H17))*100)-(godz*60)-(TRUNC(H17-godz)*60))/100),2))+((ROUND((TRUNC(H17-godz)+(((TRUNC(H17)*60)+(H17-TRUNC(H17))*100)-(godz*60)-(TRUNC(H17-godz)*60))/100),2)-TRUNC(ROUND((TRUNC(H17-godz)+(((TRUNC(H17)*60)+(H17-TRUNC(H17))*100)-(godz*60)-(TRUNC(H17-godz)*60))/100),2)))*100/60))/1.5)-TRUNC((TRUNC(ROUND((TRUNC(H17-godz)+(((TRUNC(H17)*60)+(H17-TRUNC(H17))*100)-(godz*60)-(TRUNC(H17-godz)*60))/100),2))+((ROUND((TRUNC(H17-godz)+(((TRUNC(H17)*60)+(H17-TRUNC(H17))*100)-(godz*60)-(TRUNC(H17-godz)*60))/100),2)-TRUNC(ROUND((TRUNC(H17-godz)+(((TRUNC(H17)*60)+(H17-TRUNC(H17))*100)-(godz*60)-(TRUNC(H17-godz)*60))/100),2)))*100/60))/1.5))*60/100,2),IF(OR((B17=83),(D17="w"),(D17="s"),(D17="c"),(D17="a"),(D17="oc"),(D17="um"),(D17="op"),(D17="uz"),(D17="u")),"",ROUND((TRUNC(H17-godz)+(((TRUNC(H17)*60)+(H17-TRUNC(H17))*100)-(godz*60)-(TRUNC(H17-godz)*60))/100),2))))</f>
        <v>0</v>
      </c>
      <c r="J17" s="56">
        <f t="shared" ref="J17:J18" si="38">IF(D17="gp",(TRUNC(I17)*60+(I17-TRUNC(I17))*100),IF(OR((I17=""),(B17=83)),"",IF((I17=0),0,TRUNC(H17-godz)*60+(((TRUNC(H17)*60)+(H17-TRUNC(H17))*100)-(godz*60)-(TRUNC(H17-godz)*60)))))</f>
        <v>0</v>
      </c>
      <c r="K17" s="57">
        <f t="shared" si="14"/>
        <v>1</v>
      </c>
      <c r="L17" s="57">
        <f t="shared" si="15"/>
        <v>0</v>
      </c>
      <c r="M17" s="58" t="str">
        <f t="shared" si="3"/>
        <v>przerwa1</v>
      </c>
      <c r="N17" s="57">
        <f t="shared" si="16"/>
        <v>1</v>
      </c>
      <c r="O17" s="138"/>
      <c r="P17" s="149"/>
      <c r="Q17" s="138" t="s">
        <v>156</v>
      </c>
      <c r="R17" s="8"/>
      <c r="S17" s="60">
        <f t="shared" si="17"/>
        <v>0</v>
      </c>
      <c r="T17" s="60" t="str">
        <f t="shared" si="18"/>
        <v xml:space="preserve"> </v>
      </c>
      <c r="U17" s="60" t="str">
        <f t="shared" si="19"/>
        <v xml:space="preserve"> </v>
      </c>
      <c r="W17">
        <f t="shared" si="20"/>
        <v>480</v>
      </c>
      <c r="X17">
        <f t="shared" si="21"/>
        <v>0</v>
      </c>
      <c r="Y17">
        <f t="shared" si="22"/>
        <v>480</v>
      </c>
      <c r="AD17" s="158">
        <f t="shared" si="25"/>
        <v>8</v>
      </c>
      <c r="AE17" s="158">
        <f t="shared" si="26"/>
        <v>0</v>
      </c>
      <c r="AF17" s="64">
        <f t="shared" si="27"/>
        <v>8</v>
      </c>
      <c r="AG17" s="169">
        <f t="shared" si="28"/>
        <v>16</v>
      </c>
      <c r="AH17" s="169">
        <f t="shared" si="29"/>
        <v>0</v>
      </c>
      <c r="AI17" s="64">
        <f t="shared" si="30"/>
        <v>16</v>
      </c>
      <c r="AJ17" s="169">
        <f t="shared" si="31"/>
        <v>8</v>
      </c>
      <c r="AK17" s="169">
        <f t="shared" si="32"/>
        <v>0</v>
      </c>
      <c r="AL17" s="64">
        <f t="shared" si="33"/>
        <v>8</v>
      </c>
    </row>
    <row r="18" spans="1:38" ht="15.75" x14ac:dyDescent="0.25">
      <c r="A18" s="2">
        <f t="shared" si="23"/>
        <v>46030</v>
      </c>
      <c r="B18" s="2">
        <f t="shared" si="12"/>
        <v>84</v>
      </c>
      <c r="C18" s="54" t="str">
        <f t="shared" si="13"/>
        <v>08.1. czwartek</v>
      </c>
      <c r="D18" s="159"/>
      <c r="E18" s="117" t="str">
        <f t="shared" si="34"/>
        <v xml:space="preserve"> </v>
      </c>
      <c r="F18" s="115">
        <v>8</v>
      </c>
      <c r="G18" s="115">
        <v>16</v>
      </c>
      <c r="H18" s="55">
        <f t="shared" si="36"/>
        <v>8</v>
      </c>
      <c r="I18" s="55">
        <f t="shared" si="37"/>
        <v>0</v>
      </c>
      <c r="J18" s="56">
        <f t="shared" si="38"/>
        <v>0</v>
      </c>
      <c r="K18" s="57">
        <f t="shared" si="14"/>
        <v>1</v>
      </c>
      <c r="L18" s="57">
        <f t="shared" si="15"/>
        <v>0</v>
      </c>
      <c r="M18" s="58" t="str">
        <f t="shared" si="3"/>
        <v>przerwa1</v>
      </c>
      <c r="N18" s="57">
        <f t="shared" si="16"/>
        <v>1</v>
      </c>
      <c r="O18" s="138"/>
      <c r="P18" s="149"/>
      <c r="Q18" s="138"/>
      <c r="R18" s="8"/>
      <c r="S18" s="60">
        <f t="shared" si="17"/>
        <v>0</v>
      </c>
      <c r="T18" s="60" t="str">
        <f t="shared" si="18"/>
        <v xml:space="preserve"> </v>
      </c>
      <c r="U18" s="60" t="str">
        <f t="shared" si="19"/>
        <v xml:space="preserve"> </v>
      </c>
      <c r="W18">
        <f t="shared" si="20"/>
        <v>480</v>
      </c>
      <c r="X18">
        <f t="shared" si="21"/>
        <v>0</v>
      </c>
      <c r="Y18">
        <f t="shared" si="22"/>
        <v>480</v>
      </c>
      <c r="AD18" s="158">
        <f t="shared" si="25"/>
        <v>8</v>
      </c>
      <c r="AE18" s="158">
        <f t="shared" si="26"/>
        <v>0</v>
      </c>
      <c r="AF18" s="64">
        <f t="shared" si="27"/>
        <v>8</v>
      </c>
      <c r="AG18" s="169">
        <f t="shared" si="28"/>
        <v>16</v>
      </c>
      <c r="AH18" s="169">
        <f t="shared" si="29"/>
        <v>0</v>
      </c>
      <c r="AI18" s="64">
        <f t="shared" si="30"/>
        <v>16</v>
      </c>
      <c r="AJ18" s="169">
        <f t="shared" si="31"/>
        <v>8</v>
      </c>
      <c r="AK18" s="169">
        <f t="shared" si="32"/>
        <v>0</v>
      </c>
      <c r="AL18" s="64">
        <f t="shared" si="33"/>
        <v>8</v>
      </c>
    </row>
    <row r="19" spans="1:38" ht="15.75" x14ac:dyDescent="0.25">
      <c r="A19" s="2">
        <f t="shared" si="23"/>
        <v>46031</v>
      </c>
      <c r="B19" s="2">
        <f t="shared" si="12"/>
        <v>84</v>
      </c>
      <c r="C19" s="54" t="str">
        <f t="shared" si="13"/>
        <v>09.1. piątek</v>
      </c>
      <c r="D19" s="159"/>
      <c r="E19" s="117" t="str">
        <f t="shared" si="34"/>
        <v xml:space="preserve"> </v>
      </c>
      <c r="F19" s="115">
        <v>8</v>
      </c>
      <c r="G19" s="115">
        <v>16</v>
      </c>
      <c r="H19" s="55">
        <f t="shared" si="0"/>
        <v>8</v>
      </c>
      <c r="I19" s="55">
        <f t="shared" si="1"/>
        <v>0</v>
      </c>
      <c r="J19" s="56">
        <f t="shared" ref="J19:J41" si="39">IF(D19="gp",(TRUNC(I19)*60+(I19-TRUNC(I19))*100),IF(OR((I19=""),(B19=83)),"",IF((I19=0),0,TRUNC(H19-godz)*60+(((TRUNC(H19)*60)+(H19-TRUNC(H19))*100)-(godz*60)-(TRUNC(H19-godz)*60)))))</f>
        <v>0</v>
      </c>
      <c r="K19" s="57">
        <f t="shared" si="14"/>
        <v>1</v>
      </c>
      <c r="L19" s="57">
        <f t="shared" si="15"/>
        <v>0</v>
      </c>
      <c r="M19" s="58" t="str">
        <f t="shared" si="3"/>
        <v>przerwa1</v>
      </c>
      <c r="N19" s="57">
        <f t="shared" si="16"/>
        <v>1</v>
      </c>
      <c r="O19" s="138"/>
      <c r="P19" s="149"/>
      <c r="Q19" s="138"/>
      <c r="R19" s="8"/>
      <c r="S19" s="60">
        <f t="shared" si="17"/>
        <v>0</v>
      </c>
      <c r="T19" s="60" t="str">
        <f t="shared" si="18"/>
        <v xml:space="preserve"> </v>
      </c>
      <c r="U19" s="60" t="str">
        <f t="shared" si="19"/>
        <v xml:space="preserve"> </v>
      </c>
      <c r="W19">
        <f t="shared" si="20"/>
        <v>480</v>
      </c>
      <c r="X19">
        <f t="shared" si="21"/>
        <v>0</v>
      </c>
      <c r="Y19">
        <f t="shared" si="22"/>
        <v>480</v>
      </c>
      <c r="AD19" s="158">
        <f t="shared" si="25"/>
        <v>8</v>
      </c>
      <c r="AE19" s="158">
        <f t="shared" si="26"/>
        <v>0</v>
      </c>
      <c r="AF19" s="64">
        <f t="shared" si="27"/>
        <v>8</v>
      </c>
      <c r="AG19" s="169">
        <f t="shared" si="28"/>
        <v>16</v>
      </c>
      <c r="AH19" s="169">
        <f t="shared" si="29"/>
        <v>0</v>
      </c>
      <c r="AI19" s="64">
        <f t="shared" si="30"/>
        <v>16</v>
      </c>
      <c r="AJ19" s="169">
        <f t="shared" si="31"/>
        <v>8</v>
      </c>
      <c r="AK19" s="169">
        <f t="shared" si="32"/>
        <v>0</v>
      </c>
      <c r="AL19" s="64">
        <f t="shared" si="33"/>
        <v>8</v>
      </c>
    </row>
    <row r="20" spans="1:38" ht="15.75" x14ac:dyDescent="0.25">
      <c r="A20" s="2">
        <f t="shared" si="23"/>
        <v>46032</v>
      </c>
      <c r="B20" s="2">
        <f t="shared" si="12"/>
        <v>84</v>
      </c>
      <c r="C20" s="54" t="str">
        <f t="shared" si="13"/>
        <v>10.1. sobota</v>
      </c>
      <c r="D20" s="159" t="s">
        <v>47</v>
      </c>
      <c r="E20" s="117" t="str">
        <f t="shared" si="34"/>
        <v>wolne</v>
      </c>
      <c r="F20" s="115"/>
      <c r="G20" s="115"/>
      <c r="H20" s="55" t="str">
        <f t="shared" si="0"/>
        <v/>
      </c>
      <c r="I20" s="55" t="str">
        <f t="shared" si="1"/>
        <v/>
      </c>
      <c r="J20" s="56" t="str">
        <f t="shared" si="39"/>
        <v/>
      </c>
      <c r="K20" s="57">
        <f t="shared" si="14"/>
        <v>0</v>
      </c>
      <c r="L20" s="57">
        <f t="shared" si="15"/>
        <v>0</v>
      </c>
      <c r="M20" s="58" t="str">
        <f t="shared" si="3"/>
        <v>przerwa1</v>
      </c>
      <c r="N20" s="57">
        <f t="shared" si="16"/>
        <v>0</v>
      </c>
      <c r="O20" s="138"/>
      <c r="P20" s="149"/>
      <c r="Q20" s="138"/>
      <c r="R20" s="8"/>
      <c r="S20" s="60" t="str">
        <f t="shared" si="17"/>
        <v xml:space="preserve"> </v>
      </c>
      <c r="T20" s="60" t="str">
        <f t="shared" si="18"/>
        <v xml:space="preserve"> </v>
      </c>
      <c r="U20" s="60" t="str">
        <f t="shared" si="19"/>
        <v xml:space="preserve"> </v>
      </c>
      <c r="W20">
        <f t="shared" si="20"/>
        <v>0</v>
      </c>
      <c r="X20">
        <f t="shared" si="21"/>
        <v>0</v>
      </c>
      <c r="Y20">
        <f t="shared" si="22"/>
        <v>0</v>
      </c>
      <c r="AD20" s="158">
        <f t="shared" si="25"/>
        <v>0</v>
      </c>
      <c r="AE20" s="158">
        <f t="shared" si="26"/>
        <v>0</v>
      </c>
      <c r="AF20" s="64" t="str">
        <f t="shared" si="27"/>
        <v xml:space="preserve"> </v>
      </c>
      <c r="AG20" s="169">
        <f t="shared" si="28"/>
        <v>0</v>
      </c>
      <c r="AH20" s="169">
        <f t="shared" si="29"/>
        <v>0</v>
      </c>
      <c r="AI20" s="64" t="str">
        <f t="shared" si="30"/>
        <v xml:space="preserve"> </v>
      </c>
      <c r="AJ20" s="169" t="str">
        <f t="shared" si="31"/>
        <v/>
      </c>
      <c r="AK20" s="169" t="str">
        <f>IF(H20&lt;&gt;"",H20-AJ20,"")</f>
        <v/>
      </c>
      <c r="AL20" s="64" t="str">
        <f t="shared" si="33"/>
        <v xml:space="preserve"> </v>
      </c>
    </row>
    <row r="21" spans="1:38" ht="15.75" x14ac:dyDescent="0.25">
      <c r="A21" s="2">
        <f t="shared" si="23"/>
        <v>46033</v>
      </c>
      <c r="B21" s="2">
        <f t="shared" si="12"/>
        <v>84</v>
      </c>
      <c r="C21" s="54" t="str">
        <f t="shared" si="13"/>
        <v>11.1. niedziela</v>
      </c>
      <c r="D21" s="159" t="s">
        <v>47</v>
      </c>
      <c r="E21" s="117" t="str">
        <f t="shared" si="34"/>
        <v>wolne</v>
      </c>
      <c r="F21" s="115"/>
      <c r="G21" s="115"/>
      <c r="H21" s="55" t="str">
        <f t="shared" si="0"/>
        <v/>
      </c>
      <c r="I21" s="55" t="str">
        <f t="shared" si="1"/>
        <v/>
      </c>
      <c r="J21" s="56" t="str">
        <f t="shared" si="39"/>
        <v/>
      </c>
      <c r="K21" s="57">
        <f t="shared" si="14"/>
        <v>0</v>
      </c>
      <c r="L21" s="57">
        <f t="shared" si="15"/>
        <v>0</v>
      </c>
      <c r="M21" s="58" t="str">
        <f t="shared" si="3"/>
        <v>przerwa1</v>
      </c>
      <c r="N21" s="57">
        <f t="shared" si="16"/>
        <v>0</v>
      </c>
      <c r="O21" s="138"/>
      <c r="P21" s="149"/>
      <c r="Q21" s="138"/>
      <c r="R21" s="8"/>
      <c r="S21" s="60" t="str">
        <f t="shared" si="17"/>
        <v xml:space="preserve"> </v>
      </c>
      <c r="T21" s="60" t="str">
        <f t="shared" si="18"/>
        <v xml:space="preserve"> </v>
      </c>
      <c r="U21" s="60" t="str">
        <f t="shared" si="19"/>
        <v xml:space="preserve"> </v>
      </c>
      <c r="W21">
        <f t="shared" si="20"/>
        <v>0</v>
      </c>
      <c r="X21">
        <f t="shared" si="21"/>
        <v>0</v>
      </c>
      <c r="Y21">
        <f t="shared" si="22"/>
        <v>0</v>
      </c>
      <c r="AD21" s="158">
        <f t="shared" si="25"/>
        <v>0</v>
      </c>
      <c r="AE21" s="158">
        <f t="shared" si="26"/>
        <v>0</v>
      </c>
      <c r="AF21" s="64" t="str">
        <f t="shared" si="27"/>
        <v xml:space="preserve"> </v>
      </c>
      <c r="AG21" s="169">
        <f t="shared" si="28"/>
        <v>0</v>
      </c>
      <c r="AH21" s="169">
        <f t="shared" si="29"/>
        <v>0</v>
      </c>
      <c r="AI21" s="64" t="str">
        <f t="shared" si="30"/>
        <v xml:space="preserve"> </v>
      </c>
      <c r="AJ21" s="169" t="str">
        <f t="shared" si="31"/>
        <v/>
      </c>
      <c r="AK21" s="169" t="str">
        <f t="shared" si="32"/>
        <v/>
      </c>
      <c r="AL21" s="64" t="str">
        <f t="shared" si="33"/>
        <v xml:space="preserve"> </v>
      </c>
    </row>
    <row r="22" spans="1:38" ht="15.75" customHeight="1" x14ac:dyDescent="0.25">
      <c r="A22" s="2">
        <f t="shared" si="23"/>
        <v>46034</v>
      </c>
      <c r="B22" s="2">
        <f t="shared" si="12"/>
        <v>84</v>
      </c>
      <c r="C22" s="54" t="str">
        <f t="shared" si="13"/>
        <v>12.1. poniedziałek</v>
      </c>
      <c r="D22" s="159"/>
      <c r="E22" s="117" t="str">
        <f>IF(D22="w","wolne",IF(D22="u","urlop",IF(D22="c","choroba",IF(D22="um","urlop macierzynski",IF(D22="oc","opieka nad chorym dzieckiem",IF(D22="s","urlop specjalny",IF(D22="g","godziny",IF(D22="a","nieobecny",IF(D22="op","opieka"," ")))))))))</f>
        <v xml:space="preserve"> </v>
      </c>
      <c r="F22" s="115">
        <v>8</v>
      </c>
      <c r="G22" s="115">
        <v>16</v>
      </c>
      <c r="H22" s="55">
        <f>IF(D22="d",(((((TRUNC(G22)-1)-TRUNC(F22))*60)+((G22-TRUNC(G22))*100)+(60-(F22-TRUNC(F22))*100))-(IF(M22&lt;przerwa1,pause,przerwa1)))/60,IF((OR((B22=83),(D22="u"),(D22="uz"),(D22="a"),(D22="c"),(D22="s"),(AND(D22="w",F22="")),(D22="oc"),(D22="um"),(D22="op"),(D22="oc"))),"",IF(OR(D22="g",AND(D22="gp",F22="")),0,TRUNC((((TRUNC(G22)*60+(G22-(TRUNC(G22)))*100)-(TRUNC(F22)*60+(F22-TRUNC(F22))*100))-(IF(M22&lt;przerwa1,pause,przerwa1)))/60)+(((((TRUNC(G22)*60+(G22-(TRUNC(G22)))*100)-(TRUNC(F22)*60+(F22-TRUNC(F22))*100))-(IF(M22&lt;przerwa1,pause,przerwa1)))/60)-TRUNC(((((TRUNC(G22)*60+(G22-(TRUNC(G22)))*100)-(TRUNC(F22)*60+(F22-TRUNC(F22))*100))-(IF(M22&lt;przerwa1,pause,przerwa1)))/60)))*60/100)))</f>
        <v>8</v>
      </c>
      <c r="I22" s="55">
        <f>IF(AND(D22="gp",F22=""),-(TRUNC(godz/1.5)+((godz/1.5)-TRUNC(godz/1.5))*60/100),IF(AND(D22="gp",F22&lt;&gt;"",G22&lt;&gt;""),ROUND(TRUNC((TRUNC(ROUND((TRUNC(H22-godz)+(((TRUNC(H22)*60)+(H22-TRUNC(H22))*100)-(godz*60)-(TRUNC(H22-godz)*60))/100),2))+((ROUND((TRUNC(H22-godz)+(((TRUNC(H22)*60)+(H22-TRUNC(H22))*100)-(godz*60)-(TRUNC(H22-godz)*60))/100),2)-TRUNC(ROUND((TRUNC(H22-godz)+(((TRUNC(H22)*60)+(H22-TRUNC(H22))*100)-(godz*60)-(TRUNC(H22-godz)*60))/100),2)))*100/60))/1.5)+(((TRUNC(ROUND((TRUNC(H22-godz)+(((TRUNC(H22)*60)+(H22-TRUNC(H22))*100)-(godz*60)-(TRUNC(H22-godz)*60))/100),2))+((ROUND((TRUNC(H22-godz)+(((TRUNC(H22)*60)+(H22-TRUNC(H22))*100)-(godz*60)-(TRUNC(H22-godz)*60))/100),2)-TRUNC(ROUND((TRUNC(H22-godz)+(((TRUNC(H22)*60)+(H22-TRUNC(H22))*100)-(godz*60)-(TRUNC(H22-godz)*60))/100),2)))*100/60))/1.5)-TRUNC((TRUNC(ROUND((TRUNC(H22-godz)+(((TRUNC(H22)*60)+(H22-TRUNC(H22))*100)-(godz*60)-(TRUNC(H22-godz)*60))/100),2))+((ROUND((TRUNC(H22-godz)+(((TRUNC(H22)*60)+(H22-TRUNC(H22))*100)-(godz*60)-(TRUNC(H22-godz)*60))/100),2)-TRUNC(ROUND((TRUNC(H22-godz)+(((TRUNC(H22)*60)+(H22-TRUNC(H22))*100)-(godz*60)-(TRUNC(H22-godz)*60))/100),2)))*100/60))/1.5))*60/100,2),IF(OR((B22=83),(D22="w"),(D22="s"),(D22="c"),(D22="a"),(D22="oc"),(D22="um"),(D22="op"),(D22="uz"),(D22="u")),"",ROUND((TRUNC(H22-godz)+(((TRUNC(H22)*60)+(H22-TRUNC(H22))*100)-(godz*60)-(TRUNC(H22-godz)*60))/100),2))))</f>
        <v>0</v>
      </c>
      <c r="J22" s="56">
        <f>IF(D22="gp",(TRUNC(I22)*60+(I22-TRUNC(I22))*100),IF(OR((I22=""),(B22=83)),"",IF((I22=0),0,TRUNC(H22-godz)*60+(((TRUNC(H22)*60)+(H22-TRUNC(H22))*100)-(godz*60)-(TRUNC(H22-godz)*60)))))</f>
        <v>0</v>
      </c>
      <c r="K22" s="57">
        <f>IF(OR((B22=83),(D22="w")),0,1)</f>
        <v>1</v>
      </c>
      <c r="L22" s="57">
        <f>IF(OR((D22="c"),(D22="u"),(D22="uz"),(D22="um"),(D22="op"),(D22="oc"),(D22="s")),1,0)</f>
        <v>0</v>
      </c>
      <c r="M22" s="58" t="str">
        <f t="shared" si="3"/>
        <v>przerwa1</v>
      </c>
      <c r="N22" s="57">
        <f>IF(OR((B22=83),(D22="w"),(D22="g"),(D22="c"),(D22="u"),(D22="uz"),(D22="op"),(D22="oc")),0,1)</f>
        <v>1</v>
      </c>
      <c r="O22" s="138"/>
      <c r="P22" s="149"/>
      <c r="Q22" s="138"/>
      <c r="R22" s="8"/>
      <c r="S22" s="60">
        <f>IF(H22&lt;&gt;"",IF(D22="w",((TRUNC(H22)*60)+(H22-TRUNC(H22))*100),((TRUNC(H22)*60+(H22-TRUNC(H22))*100)-pause2*60-O22))," ")</f>
        <v>0</v>
      </c>
      <c r="T22" s="60" t="str">
        <f t="shared" si="18"/>
        <v xml:space="preserve"> </v>
      </c>
      <c r="U22" s="60" t="str">
        <f t="shared" si="19"/>
        <v xml:space="preserve"> </v>
      </c>
      <c r="W22">
        <f t="shared" si="20"/>
        <v>480</v>
      </c>
      <c r="X22">
        <f t="shared" si="21"/>
        <v>0</v>
      </c>
      <c r="Y22">
        <f>IF(D22="gp",(TRUNC(I22)*60+(I22-TRUNC(I22))*100),(IF(D22="g",(TRUNC(I22)*60+(I22-TRUNC(I22))*100),W22+X22)))</f>
        <v>480</v>
      </c>
      <c r="AD22" s="158">
        <f t="shared" si="25"/>
        <v>8</v>
      </c>
      <c r="AE22" s="158">
        <f t="shared" si="26"/>
        <v>0</v>
      </c>
      <c r="AF22" s="64">
        <f t="shared" si="27"/>
        <v>8</v>
      </c>
      <c r="AG22" s="169">
        <f t="shared" si="28"/>
        <v>16</v>
      </c>
      <c r="AH22" s="169">
        <f t="shared" si="29"/>
        <v>0</v>
      </c>
      <c r="AI22" s="64">
        <f t="shared" si="30"/>
        <v>16</v>
      </c>
      <c r="AJ22" s="169">
        <f t="shared" si="31"/>
        <v>8</v>
      </c>
      <c r="AK22" s="169">
        <f t="shared" si="32"/>
        <v>0</v>
      </c>
      <c r="AL22" s="64">
        <f t="shared" si="33"/>
        <v>8</v>
      </c>
    </row>
    <row r="23" spans="1:38" ht="15.75" customHeight="1" x14ac:dyDescent="0.25">
      <c r="A23" s="2">
        <f t="shared" si="23"/>
        <v>46035</v>
      </c>
      <c r="B23" s="2">
        <f t="shared" si="12"/>
        <v>84</v>
      </c>
      <c r="C23" s="54" t="str">
        <f t="shared" si="13"/>
        <v>13.1. wtorek</v>
      </c>
      <c r="D23" s="159"/>
      <c r="E23" s="117" t="str">
        <f t="shared" si="34"/>
        <v xml:space="preserve"> </v>
      </c>
      <c r="F23" s="115">
        <v>8</v>
      </c>
      <c r="G23" s="115">
        <v>16</v>
      </c>
      <c r="H23" s="55">
        <f t="shared" si="0"/>
        <v>8</v>
      </c>
      <c r="I23" s="55">
        <f t="shared" si="1"/>
        <v>0</v>
      </c>
      <c r="J23" s="56">
        <f t="shared" si="39"/>
        <v>0</v>
      </c>
      <c r="K23" s="57">
        <f t="shared" si="14"/>
        <v>1</v>
      </c>
      <c r="L23" s="57">
        <f t="shared" si="15"/>
        <v>0</v>
      </c>
      <c r="M23" s="58" t="str">
        <f t="shared" si="3"/>
        <v>przerwa1</v>
      </c>
      <c r="N23" s="57">
        <f t="shared" si="16"/>
        <v>1</v>
      </c>
      <c r="O23" s="138"/>
      <c r="P23" s="149"/>
      <c r="Q23" s="138"/>
      <c r="R23" s="8"/>
      <c r="S23" s="60">
        <f t="shared" si="17"/>
        <v>0</v>
      </c>
      <c r="T23" s="60" t="str">
        <f t="shared" si="18"/>
        <v xml:space="preserve"> </v>
      </c>
      <c r="U23" s="60" t="str">
        <f t="shared" si="19"/>
        <v xml:space="preserve"> </v>
      </c>
      <c r="W23">
        <f t="shared" si="20"/>
        <v>480</v>
      </c>
      <c r="X23">
        <f t="shared" si="21"/>
        <v>0</v>
      </c>
      <c r="Y23">
        <f t="shared" si="22"/>
        <v>480</v>
      </c>
      <c r="AD23" s="158">
        <f t="shared" si="25"/>
        <v>8</v>
      </c>
      <c r="AE23" s="158">
        <f t="shared" si="26"/>
        <v>0</v>
      </c>
      <c r="AF23" s="64">
        <f t="shared" si="27"/>
        <v>8</v>
      </c>
      <c r="AG23" s="169">
        <f t="shared" si="28"/>
        <v>16</v>
      </c>
      <c r="AH23" s="169">
        <f t="shared" si="29"/>
        <v>0</v>
      </c>
      <c r="AI23" s="64">
        <f t="shared" si="30"/>
        <v>16</v>
      </c>
      <c r="AJ23" s="169">
        <f t="shared" si="31"/>
        <v>8</v>
      </c>
      <c r="AK23" s="169">
        <f t="shared" si="32"/>
        <v>0</v>
      </c>
      <c r="AL23" s="64">
        <f t="shared" si="33"/>
        <v>8</v>
      </c>
    </row>
    <row r="24" spans="1:38" ht="15.75" x14ac:dyDescent="0.25">
      <c r="A24" s="2">
        <f t="shared" si="23"/>
        <v>46036</v>
      </c>
      <c r="B24" s="2">
        <f t="shared" si="12"/>
        <v>84</v>
      </c>
      <c r="C24" s="54" t="str">
        <f t="shared" si="13"/>
        <v>14.1. środa</v>
      </c>
      <c r="D24" s="159"/>
      <c r="E24" s="117" t="str">
        <f>IF(D24="w","wolne",IF(D24="u","urlop",IF(D24="c","choroba",IF(D24="um","urlop macierzynski",IF(D24="oc","opieka nad chorym dzieckiem",IF(D24="s","urlop specjalny",IF(D24="g","godziny",IF(D24="a","nieobecny",IF(D24="op","opieka"," ")))))))))</f>
        <v xml:space="preserve"> </v>
      </c>
      <c r="F24" s="115">
        <v>8</v>
      </c>
      <c r="G24" s="115">
        <v>16</v>
      </c>
      <c r="H24" s="55">
        <f>IF(D24="d",(((((TRUNC(G24)-1)-TRUNC(F24))*60)+((G24-TRUNC(G24))*100)+(60-(F24-TRUNC(F24))*100))-(IF(M24&lt;przerwa1,pause,przerwa1)))/60,IF((OR((B24=83),(D24="u"),(D24="uz"),(D24="a"),(D24="c"),(D24="s"),(AND(D24="w",F24="")),(D24="oc"),(D24="um"),(D24="op"),(D24="oc"))),"",IF(OR(D24="g",AND(D24="gp",F24="")),0,TRUNC((((TRUNC(G24)*60+(G24-(TRUNC(G24)))*100)-(TRUNC(F24)*60+(F24-TRUNC(F24))*100))-(IF(M24&lt;przerwa1,pause,przerwa1)))/60)+(((((TRUNC(G24)*60+(G24-(TRUNC(G24)))*100)-(TRUNC(F24)*60+(F24-TRUNC(F24))*100))-(IF(M24&lt;przerwa1,pause,przerwa1)))/60)-TRUNC(((((TRUNC(G24)*60+(G24-(TRUNC(G24)))*100)-(TRUNC(F24)*60+(F24-TRUNC(F24))*100))-(IF(M24&lt;przerwa1,pause,przerwa1)))/60)))*60/100)))</f>
        <v>8</v>
      </c>
      <c r="I24" s="55">
        <f>IF(AND(D24="gp",F24=""),-(TRUNC(godz/1.5)+((godz/1.5)-TRUNC(godz/1.5))*60/100),IF(AND(D24="gp",F24&lt;&gt;"",G24&lt;&gt;""),ROUND(TRUNC((TRUNC(ROUND((TRUNC(H24-godz)+(((TRUNC(H24)*60)+(H24-TRUNC(H24))*100)-(godz*60)-(TRUNC(H24-godz)*60))/100),2))+((ROUND((TRUNC(H24-godz)+(((TRUNC(H24)*60)+(H24-TRUNC(H24))*100)-(godz*60)-(TRUNC(H24-godz)*60))/100),2)-TRUNC(ROUND((TRUNC(H24-godz)+(((TRUNC(H24)*60)+(H24-TRUNC(H24))*100)-(godz*60)-(TRUNC(H24-godz)*60))/100),2)))*100/60))/1.5)+(((TRUNC(ROUND((TRUNC(H24-godz)+(((TRUNC(H24)*60)+(H24-TRUNC(H24))*100)-(godz*60)-(TRUNC(H24-godz)*60))/100),2))+((ROUND((TRUNC(H24-godz)+(((TRUNC(H24)*60)+(H24-TRUNC(H24))*100)-(godz*60)-(TRUNC(H24-godz)*60))/100),2)-TRUNC(ROUND((TRUNC(H24-godz)+(((TRUNC(H24)*60)+(H24-TRUNC(H24))*100)-(godz*60)-(TRUNC(H24-godz)*60))/100),2)))*100/60))/1.5)-TRUNC((TRUNC(ROUND((TRUNC(H24-godz)+(((TRUNC(H24)*60)+(H24-TRUNC(H24))*100)-(godz*60)-(TRUNC(H24-godz)*60))/100),2))+((ROUND((TRUNC(H24-godz)+(((TRUNC(H24)*60)+(H24-TRUNC(H24))*100)-(godz*60)-(TRUNC(H24-godz)*60))/100),2)-TRUNC(ROUND((TRUNC(H24-godz)+(((TRUNC(H24)*60)+(H24-TRUNC(H24))*100)-(godz*60)-(TRUNC(H24-godz)*60))/100),2)))*100/60))/1.5))*60/100,2),IF(OR((B24=83),(D24="w"),(D24="s"),(D24="c"),(D24="a"),(D24="oc"),(D24="um"),(D24="op"),(D24="uz"),(D24="u")),"",ROUND((TRUNC(H24-godz)+(((TRUNC(H24)*60)+(H24-TRUNC(H24))*100)-(godz*60)-(TRUNC(H24-godz)*60))/100),2))))</f>
        <v>0</v>
      </c>
      <c r="J24" s="56">
        <f>IF(D24="gp",(TRUNC(I24)*60+(I24-TRUNC(I24))*100),IF(OR((I24=""),(B24=83)),"",IF((I24=0),0,TRUNC(H24-godz)*60+(((TRUNC(H24)*60)+(H24-TRUNC(H24))*100)-(godz*60)-(TRUNC(H24-godz)*60)))))</f>
        <v>0</v>
      </c>
      <c r="K24" s="57">
        <f>IF(OR((B24=83),(D24="w")),0,1)</f>
        <v>1</v>
      </c>
      <c r="L24" s="57">
        <f>IF(OR((D24="c"),(D24="u"),(D24="uz"),(D24="um"),(D24="op"),(D24="oc"),(D24="s")),1,0)</f>
        <v>0</v>
      </c>
      <c r="M24" s="58" t="str">
        <f t="shared" si="3"/>
        <v>przerwa1</v>
      </c>
      <c r="N24" s="57">
        <f>IF(OR((B24=83),(D24="w"),(D24="g"),(D24="c"),(D24="u"),(D24="uz"),(D24="op"),(D24="oc")),0,1)</f>
        <v>1</v>
      </c>
      <c r="O24" s="138"/>
      <c r="P24" s="149"/>
      <c r="Q24" s="138"/>
      <c r="R24" s="8"/>
      <c r="S24" s="60">
        <f>IF(H24&lt;&gt;"",IF(D24="w",((TRUNC(H24)*60)+(H24-TRUNC(H24))*100),((TRUNC(H24)*60+(H24-TRUNC(H24))*100)-pause2*60-O24))," ")</f>
        <v>0</v>
      </c>
      <c r="T24" s="60" t="str">
        <f t="shared" si="18"/>
        <v xml:space="preserve"> </v>
      </c>
      <c r="U24" s="60" t="str">
        <f t="shared" si="19"/>
        <v xml:space="preserve"> </v>
      </c>
      <c r="W24">
        <f t="shared" si="20"/>
        <v>480</v>
      </c>
      <c r="X24">
        <f t="shared" si="21"/>
        <v>0</v>
      </c>
      <c r="Y24">
        <f>IF(D24="gp",(TRUNC(I24)*60+(I24-TRUNC(I24))*100),(IF(D24="g",(TRUNC(I24)*60+(I24-TRUNC(I24))*100),W24+X24)))</f>
        <v>480</v>
      </c>
      <c r="AD24" s="158">
        <f t="shared" si="25"/>
        <v>8</v>
      </c>
      <c r="AE24" s="158">
        <f t="shared" si="26"/>
        <v>0</v>
      </c>
      <c r="AF24" s="64">
        <f t="shared" si="27"/>
        <v>8</v>
      </c>
      <c r="AG24" s="169">
        <f t="shared" si="28"/>
        <v>16</v>
      </c>
      <c r="AH24" s="169">
        <f t="shared" si="29"/>
        <v>0</v>
      </c>
      <c r="AI24" s="64">
        <f t="shared" si="30"/>
        <v>16</v>
      </c>
      <c r="AJ24" s="169">
        <f t="shared" si="31"/>
        <v>8</v>
      </c>
      <c r="AK24" s="169">
        <f t="shared" si="32"/>
        <v>0</v>
      </c>
      <c r="AL24" s="64">
        <f t="shared" si="33"/>
        <v>8</v>
      </c>
    </row>
    <row r="25" spans="1:38" ht="15.75" x14ac:dyDescent="0.25">
      <c r="A25" s="2">
        <f t="shared" si="23"/>
        <v>46037</v>
      </c>
      <c r="B25" s="2">
        <f t="shared" si="12"/>
        <v>84</v>
      </c>
      <c r="C25" s="54" t="str">
        <f t="shared" si="13"/>
        <v>15.1. czwartek</v>
      </c>
      <c r="D25" s="159"/>
      <c r="E25" s="117" t="str">
        <f t="shared" si="34"/>
        <v xml:space="preserve"> </v>
      </c>
      <c r="F25" s="115">
        <v>8</v>
      </c>
      <c r="G25" s="115">
        <v>16</v>
      </c>
      <c r="H25" s="55">
        <f t="shared" si="0"/>
        <v>8</v>
      </c>
      <c r="I25" s="55">
        <f t="shared" si="1"/>
        <v>0</v>
      </c>
      <c r="J25" s="56">
        <f t="shared" si="39"/>
        <v>0</v>
      </c>
      <c r="K25" s="57">
        <f t="shared" si="14"/>
        <v>1</v>
      </c>
      <c r="L25" s="57">
        <f t="shared" si="15"/>
        <v>0</v>
      </c>
      <c r="M25" s="58" t="str">
        <f t="shared" si="3"/>
        <v>przerwa1</v>
      </c>
      <c r="N25" s="57">
        <f t="shared" si="16"/>
        <v>1</v>
      </c>
      <c r="O25" s="138"/>
      <c r="P25" s="149"/>
      <c r="Q25" s="138"/>
      <c r="R25" s="8"/>
      <c r="S25" s="60">
        <f t="shared" si="17"/>
        <v>0</v>
      </c>
      <c r="T25" s="60" t="str">
        <f t="shared" si="18"/>
        <v xml:space="preserve"> </v>
      </c>
      <c r="U25" s="60" t="str">
        <f t="shared" si="19"/>
        <v xml:space="preserve"> </v>
      </c>
      <c r="W25">
        <f t="shared" si="20"/>
        <v>480</v>
      </c>
      <c r="X25">
        <f t="shared" si="21"/>
        <v>0</v>
      </c>
      <c r="Y25">
        <f t="shared" si="22"/>
        <v>480</v>
      </c>
      <c r="AD25" s="158">
        <f t="shared" si="25"/>
        <v>8</v>
      </c>
      <c r="AE25" s="158">
        <f t="shared" si="26"/>
        <v>0</v>
      </c>
      <c r="AF25" s="64">
        <f t="shared" si="27"/>
        <v>8</v>
      </c>
      <c r="AG25" s="169">
        <f t="shared" si="28"/>
        <v>16</v>
      </c>
      <c r="AH25" s="169">
        <f t="shared" si="29"/>
        <v>0</v>
      </c>
      <c r="AI25" s="64">
        <f t="shared" si="30"/>
        <v>16</v>
      </c>
      <c r="AJ25" s="169">
        <f t="shared" si="31"/>
        <v>8</v>
      </c>
      <c r="AK25" s="169">
        <f t="shared" si="32"/>
        <v>0</v>
      </c>
      <c r="AL25" s="64">
        <f t="shared" si="33"/>
        <v>8</v>
      </c>
    </row>
    <row r="26" spans="1:38" ht="15.75" customHeight="1" x14ac:dyDescent="0.25">
      <c r="A26" s="2">
        <f t="shared" si="23"/>
        <v>46038</v>
      </c>
      <c r="B26" s="2">
        <f>CODE(TEXT(A26,"TTTT"))</f>
        <v>84</v>
      </c>
      <c r="C26" s="54" t="str">
        <f t="shared" si="13"/>
        <v>16.1. piątek</v>
      </c>
      <c r="D26" s="159"/>
      <c r="E26" s="117" t="str">
        <f t="shared" si="34"/>
        <v xml:space="preserve"> </v>
      </c>
      <c r="F26" s="115">
        <v>8</v>
      </c>
      <c r="G26" s="115">
        <v>16</v>
      </c>
      <c r="H26" s="55">
        <f t="shared" si="0"/>
        <v>8</v>
      </c>
      <c r="I26" s="55">
        <f t="shared" si="1"/>
        <v>0</v>
      </c>
      <c r="J26" s="56">
        <f t="shared" si="39"/>
        <v>0</v>
      </c>
      <c r="K26" s="57">
        <f t="shared" si="14"/>
        <v>1</v>
      </c>
      <c r="L26" s="57">
        <f t="shared" si="15"/>
        <v>0</v>
      </c>
      <c r="M26" s="58" t="str">
        <f t="shared" si="3"/>
        <v>przerwa1</v>
      </c>
      <c r="N26" s="57">
        <f t="shared" si="16"/>
        <v>1</v>
      </c>
      <c r="O26" s="138"/>
      <c r="P26" s="149"/>
      <c r="Q26" s="138"/>
      <c r="R26" s="8"/>
      <c r="S26" s="60">
        <f t="shared" si="17"/>
        <v>0</v>
      </c>
      <c r="T26" s="60" t="str">
        <f t="shared" si="18"/>
        <v xml:space="preserve"> </v>
      </c>
      <c r="U26" s="60" t="str">
        <f t="shared" si="19"/>
        <v xml:space="preserve"> </v>
      </c>
      <c r="W26">
        <f t="shared" si="20"/>
        <v>480</v>
      </c>
      <c r="X26">
        <f t="shared" si="21"/>
        <v>0</v>
      </c>
      <c r="Y26">
        <f t="shared" si="22"/>
        <v>480</v>
      </c>
      <c r="AD26" s="158">
        <f t="shared" si="25"/>
        <v>8</v>
      </c>
      <c r="AE26" s="158">
        <f t="shared" si="26"/>
        <v>0</v>
      </c>
      <c r="AF26" s="64">
        <f t="shared" si="27"/>
        <v>8</v>
      </c>
      <c r="AG26" s="169">
        <f t="shared" si="28"/>
        <v>16</v>
      </c>
      <c r="AH26" s="169">
        <f t="shared" si="29"/>
        <v>0</v>
      </c>
      <c r="AI26" s="64">
        <f t="shared" si="30"/>
        <v>16</v>
      </c>
      <c r="AJ26" s="169">
        <f t="shared" si="31"/>
        <v>8</v>
      </c>
      <c r="AK26" s="169">
        <f t="shared" si="32"/>
        <v>0</v>
      </c>
      <c r="AL26" s="64">
        <f t="shared" si="33"/>
        <v>8</v>
      </c>
    </row>
    <row r="27" spans="1:38" ht="15.75" customHeight="1" x14ac:dyDescent="0.25">
      <c r="A27" s="2">
        <f t="shared" si="23"/>
        <v>46039</v>
      </c>
      <c r="B27" s="2">
        <f t="shared" si="12"/>
        <v>84</v>
      </c>
      <c r="C27" s="54" t="str">
        <f t="shared" si="13"/>
        <v>17.1. sobota</v>
      </c>
      <c r="D27" s="159" t="s">
        <v>47</v>
      </c>
      <c r="E27" s="117" t="str">
        <f t="shared" si="34"/>
        <v>wolne</v>
      </c>
      <c r="F27" s="115"/>
      <c r="G27" s="115"/>
      <c r="H27" s="55" t="str">
        <f t="shared" si="0"/>
        <v/>
      </c>
      <c r="I27" s="55" t="str">
        <f t="shared" si="1"/>
        <v/>
      </c>
      <c r="J27" s="56" t="str">
        <f t="shared" si="39"/>
        <v/>
      </c>
      <c r="K27" s="57">
        <f t="shared" si="14"/>
        <v>0</v>
      </c>
      <c r="L27" s="57">
        <f t="shared" si="15"/>
        <v>0</v>
      </c>
      <c r="M27" s="58" t="str">
        <f t="shared" si="3"/>
        <v>przerwa1</v>
      </c>
      <c r="N27" s="57">
        <f t="shared" si="16"/>
        <v>0</v>
      </c>
      <c r="O27" s="138"/>
      <c r="P27" s="149"/>
      <c r="Q27" s="138"/>
      <c r="R27" s="8"/>
      <c r="S27" s="60" t="str">
        <f t="shared" si="17"/>
        <v xml:space="preserve"> </v>
      </c>
      <c r="T27" s="60" t="str">
        <f t="shared" si="18"/>
        <v xml:space="preserve"> </v>
      </c>
      <c r="U27" s="60" t="str">
        <f t="shared" si="19"/>
        <v xml:space="preserve"> </v>
      </c>
      <c r="W27">
        <f t="shared" si="20"/>
        <v>0</v>
      </c>
      <c r="X27">
        <f t="shared" si="21"/>
        <v>0</v>
      </c>
      <c r="Y27">
        <f t="shared" si="22"/>
        <v>0</v>
      </c>
      <c r="Z27" s="157"/>
      <c r="AA27" s="157"/>
      <c r="AB27" s="157"/>
      <c r="AC27" s="157"/>
      <c r="AD27" s="158">
        <f t="shared" si="25"/>
        <v>0</v>
      </c>
      <c r="AE27" s="158">
        <f t="shared" si="26"/>
        <v>0</v>
      </c>
      <c r="AF27" s="64" t="str">
        <f t="shared" si="27"/>
        <v xml:space="preserve"> </v>
      </c>
      <c r="AG27" s="169">
        <f t="shared" si="28"/>
        <v>0</v>
      </c>
      <c r="AH27" s="169">
        <f t="shared" si="29"/>
        <v>0</v>
      </c>
      <c r="AI27" s="64" t="str">
        <f t="shared" si="30"/>
        <v xml:space="preserve"> </v>
      </c>
      <c r="AJ27" s="169" t="str">
        <f t="shared" si="31"/>
        <v/>
      </c>
      <c r="AK27" s="169" t="str">
        <f t="shared" si="32"/>
        <v/>
      </c>
      <c r="AL27" s="64" t="str">
        <f t="shared" si="33"/>
        <v xml:space="preserve"> </v>
      </c>
    </row>
    <row r="28" spans="1:38" ht="15.75" customHeight="1" x14ac:dyDescent="0.25">
      <c r="A28" s="2">
        <f t="shared" si="23"/>
        <v>46040</v>
      </c>
      <c r="B28" s="2">
        <f t="shared" si="12"/>
        <v>84</v>
      </c>
      <c r="C28" s="54" t="str">
        <f t="shared" si="13"/>
        <v>18.1. niedziela</v>
      </c>
      <c r="D28" s="159" t="s">
        <v>47</v>
      </c>
      <c r="E28" s="117" t="str">
        <f t="shared" si="34"/>
        <v>wolne</v>
      </c>
      <c r="F28" s="115"/>
      <c r="G28" s="115"/>
      <c r="H28" s="55" t="str">
        <f t="shared" si="0"/>
        <v/>
      </c>
      <c r="I28" s="55" t="str">
        <f t="shared" si="1"/>
        <v/>
      </c>
      <c r="J28" s="56" t="str">
        <f t="shared" si="39"/>
        <v/>
      </c>
      <c r="K28" s="57">
        <f t="shared" si="14"/>
        <v>0</v>
      </c>
      <c r="L28" s="57">
        <f t="shared" si="15"/>
        <v>0</v>
      </c>
      <c r="M28" s="58" t="str">
        <f t="shared" si="3"/>
        <v>przerwa1</v>
      </c>
      <c r="N28" s="57">
        <f t="shared" si="16"/>
        <v>0</v>
      </c>
      <c r="O28" s="138"/>
      <c r="P28" s="149"/>
      <c r="Q28" s="138"/>
      <c r="R28" s="8"/>
      <c r="S28" s="60" t="str">
        <f t="shared" si="17"/>
        <v xml:space="preserve"> </v>
      </c>
      <c r="T28" s="60" t="str">
        <f t="shared" si="18"/>
        <v xml:space="preserve"> </v>
      </c>
      <c r="U28" s="60" t="str">
        <f t="shared" si="19"/>
        <v xml:space="preserve"> </v>
      </c>
      <c r="W28">
        <f t="shared" si="20"/>
        <v>0</v>
      </c>
      <c r="X28">
        <f t="shared" si="21"/>
        <v>0</v>
      </c>
      <c r="Y28">
        <f t="shared" si="22"/>
        <v>0</v>
      </c>
      <c r="AD28" s="158">
        <f t="shared" si="25"/>
        <v>0</v>
      </c>
      <c r="AE28" s="158">
        <f t="shared" si="26"/>
        <v>0</v>
      </c>
      <c r="AF28" s="64" t="str">
        <f t="shared" si="27"/>
        <v xml:space="preserve"> </v>
      </c>
      <c r="AG28" s="169">
        <f t="shared" si="28"/>
        <v>0</v>
      </c>
      <c r="AH28" s="169">
        <f t="shared" si="29"/>
        <v>0</v>
      </c>
      <c r="AI28" s="64" t="str">
        <f t="shared" si="30"/>
        <v xml:space="preserve"> </v>
      </c>
      <c r="AJ28" s="169" t="str">
        <f t="shared" si="31"/>
        <v/>
      </c>
      <c r="AK28" s="169" t="str">
        <f t="shared" si="32"/>
        <v/>
      </c>
      <c r="AL28" s="64" t="str">
        <f t="shared" si="33"/>
        <v xml:space="preserve"> </v>
      </c>
    </row>
    <row r="29" spans="1:38" ht="15.75" customHeight="1" x14ac:dyDescent="0.25">
      <c r="A29" s="2">
        <f t="shared" si="23"/>
        <v>46041</v>
      </c>
      <c r="B29" s="2">
        <f t="shared" si="12"/>
        <v>84</v>
      </c>
      <c r="C29" s="54" t="str">
        <f t="shared" si="13"/>
        <v>19.1. poniedziałek</v>
      </c>
      <c r="D29" s="159"/>
      <c r="E29" s="117" t="str">
        <f t="shared" si="34"/>
        <v xml:space="preserve"> </v>
      </c>
      <c r="F29" s="115">
        <v>8</v>
      </c>
      <c r="G29" s="115">
        <v>16</v>
      </c>
      <c r="H29" s="55">
        <f t="shared" si="0"/>
        <v>8</v>
      </c>
      <c r="I29" s="55">
        <f t="shared" si="1"/>
        <v>0</v>
      </c>
      <c r="J29" s="56">
        <f t="shared" si="39"/>
        <v>0</v>
      </c>
      <c r="K29" s="57">
        <f t="shared" si="14"/>
        <v>1</v>
      </c>
      <c r="L29" s="57">
        <f t="shared" si="15"/>
        <v>0</v>
      </c>
      <c r="M29" s="58" t="str">
        <f t="shared" si="3"/>
        <v>przerwa1</v>
      </c>
      <c r="N29" s="57">
        <f t="shared" si="16"/>
        <v>1</v>
      </c>
      <c r="O29" s="138"/>
      <c r="P29" s="149"/>
      <c r="Q29" s="138"/>
      <c r="R29" s="8"/>
      <c r="S29" s="60">
        <f t="shared" si="17"/>
        <v>0</v>
      </c>
      <c r="T29" s="60" t="str">
        <f t="shared" si="18"/>
        <v xml:space="preserve"> </v>
      </c>
      <c r="U29" s="60" t="str">
        <f t="shared" si="19"/>
        <v xml:space="preserve"> </v>
      </c>
      <c r="W29">
        <f t="shared" si="20"/>
        <v>480</v>
      </c>
      <c r="X29">
        <f t="shared" si="21"/>
        <v>0</v>
      </c>
      <c r="Y29">
        <f t="shared" si="22"/>
        <v>480</v>
      </c>
      <c r="AD29" s="158">
        <f t="shared" si="25"/>
        <v>8</v>
      </c>
      <c r="AE29" s="158">
        <f t="shared" si="26"/>
        <v>0</v>
      </c>
      <c r="AF29" s="64">
        <f t="shared" si="27"/>
        <v>8</v>
      </c>
      <c r="AG29" s="169">
        <f t="shared" si="28"/>
        <v>16</v>
      </c>
      <c r="AH29" s="169">
        <f t="shared" si="29"/>
        <v>0</v>
      </c>
      <c r="AI29" s="64">
        <f t="shared" si="30"/>
        <v>16</v>
      </c>
      <c r="AJ29" s="169">
        <f t="shared" si="31"/>
        <v>8</v>
      </c>
      <c r="AK29" s="169">
        <f t="shared" si="32"/>
        <v>0</v>
      </c>
      <c r="AL29" s="64">
        <f t="shared" si="33"/>
        <v>8</v>
      </c>
    </row>
    <row r="30" spans="1:38" ht="15.75" customHeight="1" x14ac:dyDescent="0.25">
      <c r="A30" s="2">
        <f t="shared" si="23"/>
        <v>46042</v>
      </c>
      <c r="B30" s="2">
        <f t="shared" si="12"/>
        <v>84</v>
      </c>
      <c r="C30" s="54" t="str">
        <f t="shared" si="13"/>
        <v>20.1. wtorek</v>
      </c>
      <c r="D30" s="159"/>
      <c r="E30" s="117" t="str">
        <f t="shared" si="34"/>
        <v xml:space="preserve"> </v>
      </c>
      <c r="F30" s="115">
        <v>8</v>
      </c>
      <c r="G30" s="115">
        <v>16</v>
      </c>
      <c r="H30" s="55">
        <f t="shared" si="0"/>
        <v>8</v>
      </c>
      <c r="I30" s="55">
        <f t="shared" si="1"/>
        <v>0</v>
      </c>
      <c r="J30" s="56">
        <f t="shared" si="39"/>
        <v>0</v>
      </c>
      <c r="K30" s="57">
        <f t="shared" si="14"/>
        <v>1</v>
      </c>
      <c r="L30" s="57">
        <f t="shared" si="15"/>
        <v>0</v>
      </c>
      <c r="M30" s="58" t="str">
        <f t="shared" si="3"/>
        <v>przerwa1</v>
      </c>
      <c r="N30" s="57">
        <f t="shared" si="16"/>
        <v>1</v>
      </c>
      <c r="O30" s="138"/>
      <c r="P30" s="149"/>
      <c r="Q30" s="138"/>
      <c r="R30" s="8"/>
      <c r="S30" s="60">
        <f t="shared" si="17"/>
        <v>0</v>
      </c>
      <c r="T30" s="60" t="str">
        <f t="shared" si="18"/>
        <v xml:space="preserve"> </v>
      </c>
      <c r="U30" s="60" t="str">
        <f t="shared" si="19"/>
        <v xml:space="preserve"> </v>
      </c>
      <c r="W30">
        <f t="shared" si="20"/>
        <v>480</v>
      </c>
      <c r="X30">
        <f t="shared" si="21"/>
        <v>0</v>
      </c>
      <c r="Y30">
        <f t="shared" si="22"/>
        <v>480</v>
      </c>
      <c r="AD30" s="158">
        <f t="shared" si="25"/>
        <v>8</v>
      </c>
      <c r="AE30" s="158">
        <f t="shared" si="26"/>
        <v>0</v>
      </c>
      <c r="AF30" s="64">
        <f t="shared" si="27"/>
        <v>8</v>
      </c>
      <c r="AG30" s="169">
        <f t="shared" si="28"/>
        <v>16</v>
      </c>
      <c r="AH30" s="169">
        <f t="shared" si="29"/>
        <v>0</v>
      </c>
      <c r="AI30" s="64">
        <f t="shared" si="30"/>
        <v>16</v>
      </c>
      <c r="AJ30" s="169">
        <f t="shared" si="31"/>
        <v>8</v>
      </c>
      <c r="AK30" s="169">
        <f t="shared" si="32"/>
        <v>0</v>
      </c>
      <c r="AL30" s="64">
        <f t="shared" si="33"/>
        <v>8</v>
      </c>
    </row>
    <row r="31" spans="1:38" ht="15.75" x14ac:dyDescent="0.25">
      <c r="A31" s="2">
        <f t="shared" si="23"/>
        <v>46043</v>
      </c>
      <c r="B31" s="2">
        <f t="shared" si="12"/>
        <v>84</v>
      </c>
      <c r="C31" s="54" t="str">
        <f t="shared" si="13"/>
        <v>21.1. środa</v>
      </c>
      <c r="D31" s="159"/>
      <c r="E31" s="117" t="str">
        <f t="shared" si="34"/>
        <v xml:space="preserve"> </v>
      </c>
      <c r="F31" s="115">
        <v>8</v>
      </c>
      <c r="G31" s="115">
        <v>16</v>
      </c>
      <c r="H31" s="55">
        <f t="shared" si="0"/>
        <v>8</v>
      </c>
      <c r="I31" s="55">
        <f t="shared" si="1"/>
        <v>0</v>
      </c>
      <c r="J31" s="56">
        <f t="shared" si="39"/>
        <v>0</v>
      </c>
      <c r="K31" s="57">
        <f t="shared" si="14"/>
        <v>1</v>
      </c>
      <c r="L31" s="57">
        <f t="shared" si="15"/>
        <v>0</v>
      </c>
      <c r="M31" s="58" t="str">
        <f t="shared" si="3"/>
        <v>przerwa1</v>
      </c>
      <c r="N31" s="57">
        <f t="shared" si="16"/>
        <v>1</v>
      </c>
      <c r="O31" s="138"/>
      <c r="P31" s="149"/>
      <c r="Q31" s="138"/>
      <c r="R31" s="8"/>
      <c r="S31" s="60">
        <f t="shared" si="17"/>
        <v>0</v>
      </c>
      <c r="T31" s="60" t="str">
        <f t="shared" si="18"/>
        <v xml:space="preserve"> </v>
      </c>
      <c r="U31" s="60" t="str">
        <f t="shared" si="19"/>
        <v xml:space="preserve"> </v>
      </c>
      <c r="W31">
        <f t="shared" si="20"/>
        <v>480</v>
      </c>
      <c r="X31">
        <f t="shared" si="21"/>
        <v>0</v>
      </c>
      <c r="Y31">
        <f t="shared" si="22"/>
        <v>480</v>
      </c>
      <c r="AD31" s="158">
        <f t="shared" si="25"/>
        <v>8</v>
      </c>
      <c r="AE31" s="158">
        <f t="shared" si="26"/>
        <v>0</v>
      </c>
      <c r="AF31" s="64">
        <f t="shared" si="27"/>
        <v>8</v>
      </c>
      <c r="AG31" s="169">
        <f t="shared" si="28"/>
        <v>16</v>
      </c>
      <c r="AH31" s="169">
        <f t="shared" si="29"/>
        <v>0</v>
      </c>
      <c r="AI31" s="64">
        <f t="shared" si="30"/>
        <v>16</v>
      </c>
      <c r="AJ31" s="169">
        <f t="shared" si="31"/>
        <v>8</v>
      </c>
      <c r="AK31" s="169">
        <f t="shared" si="32"/>
        <v>0</v>
      </c>
      <c r="AL31" s="64">
        <f t="shared" si="33"/>
        <v>8</v>
      </c>
    </row>
    <row r="32" spans="1:38" ht="15.75" x14ac:dyDescent="0.25">
      <c r="A32" s="2">
        <f t="shared" si="23"/>
        <v>46044</v>
      </c>
      <c r="B32" s="2">
        <f t="shared" si="12"/>
        <v>84</v>
      </c>
      <c r="C32" s="54" t="str">
        <f t="shared" si="13"/>
        <v>22.1. czwartek</v>
      </c>
      <c r="D32" s="159"/>
      <c r="E32" s="117" t="str">
        <f t="shared" si="34"/>
        <v xml:space="preserve"> </v>
      </c>
      <c r="F32" s="115">
        <v>8</v>
      </c>
      <c r="G32" s="115">
        <v>16</v>
      </c>
      <c r="H32" s="55">
        <f t="shared" si="0"/>
        <v>8</v>
      </c>
      <c r="I32" s="55">
        <f t="shared" si="1"/>
        <v>0</v>
      </c>
      <c r="J32" s="56">
        <f t="shared" si="39"/>
        <v>0</v>
      </c>
      <c r="K32" s="57">
        <f t="shared" si="14"/>
        <v>1</v>
      </c>
      <c r="L32" s="57">
        <f t="shared" si="15"/>
        <v>0</v>
      </c>
      <c r="M32" s="58" t="str">
        <f t="shared" si="3"/>
        <v>przerwa1</v>
      </c>
      <c r="N32" s="57">
        <f t="shared" si="16"/>
        <v>1</v>
      </c>
      <c r="O32" s="138"/>
      <c r="P32" s="149"/>
      <c r="Q32" s="138"/>
      <c r="R32" s="8"/>
      <c r="S32" s="60">
        <f t="shared" si="17"/>
        <v>0</v>
      </c>
      <c r="T32" s="60" t="str">
        <f t="shared" si="18"/>
        <v xml:space="preserve"> </v>
      </c>
      <c r="U32" s="60" t="str">
        <f t="shared" si="19"/>
        <v xml:space="preserve"> </v>
      </c>
      <c r="W32">
        <f t="shared" si="20"/>
        <v>480</v>
      </c>
      <c r="X32">
        <f t="shared" si="21"/>
        <v>0</v>
      </c>
      <c r="Y32">
        <f t="shared" si="22"/>
        <v>480</v>
      </c>
      <c r="AD32" s="158">
        <f t="shared" si="25"/>
        <v>8</v>
      </c>
      <c r="AE32" s="158">
        <f t="shared" si="26"/>
        <v>0</v>
      </c>
      <c r="AF32" s="64">
        <f t="shared" si="27"/>
        <v>8</v>
      </c>
      <c r="AG32" s="169">
        <f t="shared" si="28"/>
        <v>16</v>
      </c>
      <c r="AH32" s="169">
        <f t="shared" si="29"/>
        <v>0</v>
      </c>
      <c r="AI32" s="64">
        <f t="shared" si="30"/>
        <v>16</v>
      </c>
      <c r="AJ32" s="169">
        <f t="shared" si="31"/>
        <v>8</v>
      </c>
      <c r="AK32" s="169">
        <f t="shared" si="32"/>
        <v>0</v>
      </c>
      <c r="AL32" s="64">
        <f t="shared" si="33"/>
        <v>8</v>
      </c>
    </row>
    <row r="33" spans="1:38" ht="15.75" x14ac:dyDescent="0.25">
      <c r="A33" s="2">
        <f t="shared" si="23"/>
        <v>46045</v>
      </c>
      <c r="B33" s="2">
        <f t="shared" si="12"/>
        <v>84</v>
      </c>
      <c r="C33" s="54" t="str">
        <f t="shared" si="13"/>
        <v>23.1. piątek</v>
      </c>
      <c r="D33" s="159"/>
      <c r="E33" s="117" t="str">
        <f t="shared" si="34"/>
        <v xml:space="preserve"> </v>
      </c>
      <c r="F33" s="115">
        <v>8</v>
      </c>
      <c r="G33" s="115">
        <v>16</v>
      </c>
      <c r="H33" s="55">
        <f t="shared" si="0"/>
        <v>8</v>
      </c>
      <c r="I33" s="55">
        <f t="shared" si="1"/>
        <v>0</v>
      </c>
      <c r="J33" s="56">
        <f t="shared" si="39"/>
        <v>0</v>
      </c>
      <c r="K33" s="57">
        <f t="shared" si="14"/>
        <v>1</v>
      </c>
      <c r="L33" s="57">
        <f t="shared" si="15"/>
        <v>0</v>
      </c>
      <c r="M33" s="58" t="str">
        <f t="shared" si="3"/>
        <v>przerwa1</v>
      </c>
      <c r="N33" s="57">
        <f t="shared" si="16"/>
        <v>1</v>
      </c>
      <c r="O33" s="138"/>
      <c r="P33" s="149"/>
      <c r="Q33" s="138"/>
      <c r="R33" s="8"/>
      <c r="S33" s="60">
        <f t="shared" si="17"/>
        <v>0</v>
      </c>
      <c r="T33" s="60" t="str">
        <f t="shared" si="18"/>
        <v xml:space="preserve"> </v>
      </c>
      <c r="U33" s="60" t="str">
        <f t="shared" si="19"/>
        <v xml:space="preserve"> </v>
      </c>
      <c r="W33">
        <f t="shared" si="20"/>
        <v>480</v>
      </c>
      <c r="X33">
        <f t="shared" si="21"/>
        <v>0</v>
      </c>
      <c r="Y33">
        <f t="shared" si="22"/>
        <v>480</v>
      </c>
      <c r="AD33" s="158">
        <f t="shared" si="25"/>
        <v>8</v>
      </c>
      <c r="AE33" s="158">
        <f t="shared" si="26"/>
        <v>0</v>
      </c>
      <c r="AF33" s="64">
        <f t="shared" si="27"/>
        <v>8</v>
      </c>
      <c r="AG33" s="169">
        <f t="shared" si="28"/>
        <v>16</v>
      </c>
      <c r="AH33" s="169">
        <f t="shared" si="29"/>
        <v>0</v>
      </c>
      <c r="AI33" s="64">
        <f t="shared" si="30"/>
        <v>16</v>
      </c>
      <c r="AJ33" s="169">
        <f t="shared" si="31"/>
        <v>8</v>
      </c>
      <c r="AK33" s="169">
        <f t="shared" si="32"/>
        <v>0</v>
      </c>
      <c r="AL33" s="64">
        <f t="shared" si="33"/>
        <v>8</v>
      </c>
    </row>
    <row r="34" spans="1:38" ht="15.75" x14ac:dyDescent="0.25">
      <c r="A34" s="2">
        <f t="shared" si="23"/>
        <v>46046</v>
      </c>
      <c r="B34" s="2">
        <f t="shared" si="12"/>
        <v>84</v>
      </c>
      <c r="C34" s="54" t="str">
        <f t="shared" si="13"/>
        <v>24.1. sobota</v>
      </c>
      <c r="D34" s="159" t="s">
        <v>47</v>
      </c>
      <c r="E34" s="117" t="str">
        <f t="shared" si="34"/>
        <v>wolne</v>
      </c>
      <c r="F34" s="115"/>
      <c r="G34" s="115"/>
      <c r="H34" s="55" t="str">
        <f t="shared" si="0"/>
        <v/>
      </c>
      <c r="I34" s="55" t="str">
        <f t="shared" si="1"/>
        <v/>
      </c>
      <c r="J34" s="56" t="str">
        <f t="shared" si="39"/>
        <v/>
      </c>
      <c r="K34" s="57">
        <f t="shared" si="14"/>
        <v>0</v>
      </c>
      <c r="L34" s="57">
        <f t="shared" si="15"/>
        <v>0</v>
      </c>
      <c r="M34" s="58" t="str">
        <f t="shared" si="3"/>
        <v>przerwa1</v>
      </c>
      <c r="N34" s="57">
        <f t="shared" si="16"/>
        <v>0</v>
      </c>
      <c r="O34" s="138"/>
      <c r="P34" s="149"/>
      <c r="Q34" s="138"/>
      <c r="R34" s="8"/>
      <c r="S34" s="60" t="str">
        <f t="shared" si="17"/>
        <v xml:space="preserve"> </v>
      </c>
      <c r="T34" s="60" t="str">
        <f t="shared" si="18"/>
        <v xml:space="preserve"> </v>
      </c>
      <c r="U34" s="60" t="str">
        <f t="shared" si="19"/>
        <v xml:space="preserve"> </v>
      </c>
      <c r="W34">
        <f t="shared" si="20"/>
        <v>0</v>
      </c>
      <c r="X34">
        <f t="shared" si="21"/>
        <v>0</v>
      </c>
      <c r="Y34">
        <f t="shared" si="22"/>
        <v>0</v>
      </c>
      <c r="AD34" s="158">
        <f t="shared" si="25"/>
        <v>0</v>
      </c>
      <c r="AE34" s="158">
        <f t="shared" si="26"/>
        <v>0</v>
      </c>
      <c r="AF34" s="64" t="str">
        <f t="shared" si="27"/>
        <v xml:space="preserve"> </v>
      </c>
      <c r="AG34" s="169">
        <f t="shared" si="28"/>
        <v>0</v>
      </c>
      <c r="AH34" s="169">
        <f t="shared" si="29"/>
        <v>0</v>
      </c>
      <c r="AI34" s="64" t="str">
        <f t="shared" si="30"/>
        <v xml:space="preserve"> </v>
      </c>
      <c r="AJ34" s="169" t="str">
        <f t="shared" si="31"/>
        <v/>
      </c>
      <c r="AK34" s="169" t="str">
        <f t="shared" si="32"/>
        <v/>
      </c>
      <c r="AL34" s="64" t="str">
        <f t="shared" si="33"/>
        <v xml:space="preserve"> </v>
      </c>
    </row>
    <row r="35" spans="1:38" ht="15.75" x14ac:dyDescent="0.25">
      <c r="A35" s="2">
        <f t="shared" si="23"/>
        <v>46047</v>
      </c>
      <c r="B35" s="2">
        <f t="shared" si="12"/>
        <v>84</v>
      </c>
      <c r="C35" s="54" t="str">
        <f t="shared" si="13"/>
        <v>25.1. niedziela</v>
      </c>
      <c r="D35" s="159" t="s">
        <v>47</v>
      </c>
      <c r="E35" s="117" t="str">
        <f t="shared" si="34"/>
        <v>wolne</v>
      </c>
      <c r="F35" s="115"/>
      <c r="G35" s="115"/>
      <c r="H35" s="55" t="str">
        <f t="shared" si="0"/>
        <v/>
      </c>
      <c r="I35" s="55" t="str">
        <f t="shared" si="1"/>
        <v/>
      </c>
      <c r="J35" s="56" t="str">
        <f t="shared" si="39"/>
        <v/>
      </c>
      <c r="K35" s="57">
        <f t="shared" si="14"/>
        <v>0</v>
      </c>
      <c r="L35" s="57">
        <f t="shared" si="15"/>
        <v>0</v>
      </c>
      <c r="M35" s="58" t="str">
        <f t="shared" si="3"/>
        <v>przerwa1</v>
      </c>
      <c r="N35" s="57">
        <f t="shared" si="16"/>
        <v>0</v>
      </c>
      <c r="O35" s="138"/>
      <c r="P35" s="149"/>
      <c r="Q35" s="138"/>
      <c r="R35" s="8"/>
      <c r="S35" s="60" t="str">
        <f t="shared" si="17"/>
        <v xml:space="preserve"> </v>
      </c>
      <c r="T35" s="60" t="str">
        <f t="shared" si="18"/>
        <v xml:space="preserve"> </v>
      </c>
      <c r="U35" s="60" t="str">
        <f t="shared" si="19"/>
        <v xml:space="preserve"> </v>
      </c>
      <c r="W35">
        <f t="shared" si="20"/>
        <v>0</v>
      </c>
      <c r="X35">
        <f t="shared" si="21"/>
        <v>0</v>
      </c>
      <c r="Y35">
        <f t="shared" si="22"/>
        <v>0</v>
      </c>
      <c r="AD35" s="158">
        <f t="shared" si="25"/>
        <v>0</v>
      </c>
      <c r="AE35" s="158">
        <f t="shared" si="26"/>
        <v>0</v>
      </c>
      <c r="AF35" s="64" t="str">
        <f t="shared" si="27"/>
        <v xml:space="preserve"> </v>
      </c>
      <c r="AG35" s="169">
        <f t="shared" si="28"/>
        <v>0</v>
      </c>
      <c r="AH35" s="169">
        <f t="shared" si="29"/>
        <v>0</v>
      </c>
      <c r="AI35" s="64" t="str">
        <f t="shared" si="30"/>
        <v xml:space="preserve"> </v>
      </c>
      <c r="AJ35" s="169" t="str">
        <f t="shared" si="31"/>
        <v/>
      </c>
      <c r="AK35" s="169" t="str">
        <f t="shared" si="32"/>
        <v/>
      </c>
      <c r="AL35" s="64" t="str">
        <f t="shared" si="33"/>
        <v xml:space="preserve"> </v>
      </c>
    </row>
    <row r="36" spans="1:38" ht="15.75" x14ac:dyDescent="0.25">
      <c r="A36" s="2">
        <f t="shared" si="23"/>
        <v>46048</v>
      </c>
      <c r="B36" s="2">
        <f t="shared" si="12"/>
        <v>84</v>
      </c>
      <c r="C36" s="54" t="str">
        <f t="shared" si="13"/>
        <v>26.1. poniedziałek</v>
      </c>
      <c r="D36" s="159"/>
      <c r="E36" s="117" t="str">
        <f t="shared" si="34"/>
        <v xml:space="preserve"> </v>
      </c>
      <c r="F36" s="115">
        <v>8</v>
      </c>
      <c r="G36" s="115">
        <v>16</v>
      </c>
      <c r="H36" s="55">
        <f t="shared" si="0"/>
        <v>8</v>
      </c>
      <c r="I36" s="55">
        <f t="shared" si="1"/>
        <v>0</v>
      </c>
      <c r="J36" s="56">
        <f t="shared" si="39"/>
        <v>0</v>
      </c>
      <c r="K36" s="57">
        <f t="shared" si="14"/>
        <v>1</v>
      </c>
      <c r="L36" s="57">
        <f t="shared" si="15"/>
        <v>0</v>
      </c>
      <c r="M36" s="58" t="str">
        <f t="shared" si="3"/>
        <v>przerwa1</v>
      </c>
      <c r="N36" s="57">
        <f t="shared" si="16"/>
        <v>1</v>
      </c>
      <c r="O36" s="138"/>
      <c r="P36" s="149"/>
      <c r="Q36" s="138"/>
      <c r="R36" s="8"/>
      <c r="S36" s="60">
        <f t="shared" si="17"/>
        <v>0</v>
      </c>
      <c r="T36" s="60" t="str">
        <f t="shared" si="18"/>
        <v xml:space="preserve"> </v>
      </c>
      <c r="U36" s="60" t="str">
        <f t="shared" si="19"/>
        <v xml:space="preserve"> </v>
      </c>
      <c r="W36">
        <f t="shared" si="20"/>
        <v>480</v>
      </c>
      <c r="X36">
        <f t="shared" si="21"/>
        <v>0</v>
      </c>
      <c r="Y36">
        <f t="shared" si="22"/>
        <v>480</v>
      </c>
      <c r="AD36" s="158">
        <f t="shared" si="25"/>
        <v>8</v>
      </c>
      <c r="AE36" s="158">
        <f t="shared" si="26"/>
        <v>0</v>
      </c>
      <c r="AF36" s="64">
        <f t="shared" si="27"/>
        <v>8</v>
      </c>
      <c r="AG36" s="169">
        <f t="shared" si="28"/>
        <v>16</v>
      </c>
      <c r="AH36" s="169">
        <f t="shared" si="29"/>
        <v>0</v>
      </c>
      <c r="AI36" s="64">
        <f t="shared" si="30"/>
        <v>16</v>
      </c>
      <c r="AJ36" s="169">
        <f t="shared" si="31"/>
        <v>8</v>
      </c>
      <c r="AK36" s="169">
        <f t="shared" si="32"/>
        <v>0</v>
      </c>
      <c r="AL36" s="64">
        <f t="shared" si="33"/>
        <v>8</v>
      </c>
    </row>
    <row r="37" spans="1:38" ht="15.75" x14ac:dyDescent="0.25">
      <c r="A37" s="2">
        <f t="shared" si="23"/>
        <v>46049</v>
      </c>
      <c r="B37" s="2">
        <f t="shared" si="12"/>
        <v>84</v>
      </c>
      <c r="C37" s="54" t="str">
        <f t="shared" si="13"/>
        <v>27.1. wtorek</v>
      </c>
      <c r="D37" s="159"/>
      <c r="E37" s="117" t="str">
        <f t="shared" si="34"/>
        <v xml:space="preserve"> </v>
      </c>
      <c r="F37" s="115">
        <v>8</v>
      </c>
      <c r="G37" s="115">
        <v>16</v>
      </c>
      <c r="H37" s="55">
        <f t="shared" si="0"/>
        <v>8</v>
      </c>
      <c r="I37" s="55">
        <f t="shared" si="1"/>
        <v>0</v>
      </c>
      <c r="J37" s="56">
        <f t="shared" si="39"/>
        <v>0</v>
      </c>
      <c r="K37" s="57">
        <f t="shared" si="14"/>
        <v>1</v>
      </c>
      <c r="L37" s="57">
        <f t="shared" si="15"/>
        <v>0</v>
      </c>
      <c r="M37" s="58" t="str">
        <f t="shared" si="3"/>
        <v>przerwa1</v>
      </c>
      <c r="N37" s="57">
        <f t="shared" si="16"/>
        <v>1</v>
      </c>
      <c r="O37" s="138"/>
      <c r="P37" s="149"/>
      <c r="Q37" s="138"/>
      <c r="R37" s="8"/>
      <c r="S37" s="60">
        <f t="shared" si="17"/>
        <v>0</v>
      </c>
      <c r="T37" s="60" t="str">
        <f t="shared" si="18"/>
        <v xml:space="preserve"> </v>
      </c>
      <c r="U37" s="60" t="str">
        <f t="shared" si="19"/>
        <v xml:space="preserve"> </v>
      </c>
      <c r="W37">
        <f t="shared" si="20"/>
        <v>480</v>
      </c>
      <c r="X37">
        <f t="shared" si="21"/>
        <v>0</v>
      </c>
      <c r="Y37">
        <f t="shared" si="22"/>
        <v>480</v>
      </c>
      <c r="AD37" s="158">
        <f t="shared" si="25"/>
        <v>8</v>
      </c>
      <c r="AE37" s="158">
        <f t="shared" si="26"/>
        <v>0</v>
      </c>
      <c r="AF37" s="64">
        <f t="shared" si="27"/>
        <v>8</v>
      </c>
      <c r="AG37" s="169">
        <f t="shared" si="28"/>
        <v>16</v>
      </c>
      <c r="AH37" s="169">
        <f t="shared" si="29"/>
        <v>0</v>
      </c>
      <c r="AI37" s="64">
        <f t="shared" si="30"/>
        <v>16</v>
      </c>
      <c r="AJ37" s="169">
        <f t="shared" si="31"/>
        <v>8</v>
      </c>
      <c r="AK37" s="169">
        <f t="shared" si="32"/>
        <v>0</v>
      </c>
      <c r="AL37" s="64">
        <f t="shared" si="33"/>
        <v>8</v>
      </c>
    </row>
    <row r="38" spans="1:38" ht="15.75" x14ac:dyDescent="0.25">
      <c r="A38" s="2">
        <f t="shared" si="23"/>
        <v>46050</v>
      </c>
      <c r="B38" s="2">
        <f t="shared" si="12"/>
        <v>84</v>
      </c>
      <c r="C38" s="54" t="str">
        <f t="shared" si="13"/>
        <v>28.1. środa</v>
      </c>
      <c r="D38" s="159"/>
      <c r="E38" s="117" t="str">
        <f t="shared" si="34"/>
        <v xml:space="preserve"> </v>
      </c>
      <c r="F38" s="115">
        <v>8</v>
      </c>
      <c r="G38" s="115">
        <v>16</v>
      </c>
      <c r="H38" s="55">
        <f t="shared" si="0"/>
        <v>8</v>
      </c>
      <c r="I38" s="55">
        <f t="shared" si="1"/>
        <v>0</v>
      </c>
      <c r="J38" s="56">
        <f t="shared" si="39"/>
        <v>0</v>
      </c>
      <c r="K38" s="57">
        <f t="shared" si="14"/>
        <v>1</v>
      </c>
      <c r="L38" s="57">
        <f t="shared" si="15"/>
        <v>0</v>
      </c>
      <c r="M38" s="58" t="str">
        <f t="shared" si="3"/>
        <v>przerwa1</v>
      </c>
      <c r="N38" s="57">
        <f t="shared" si="16"/>
        <v>1</v>
      </c>
      <c r="O38" s="138"/>
      <c r="P38" s="149"/>
      <c r="Q38" s="138"/>
      <c r="R38" s="8"/>
      <c r="S38" s="60">
        <f t="shared" si="17"/>
        <v>0</v>
      </c>
      <c r="T38" s="60" t="str">
        <f t="shared" si="18"/>
        <v xml:space="preserve"> </v>
      </c>
      <c r="U38" s="60" t="str">
        <f t="shared" si="19"/>
        <v xml:space="preserve"> </v>
      </c>
      <c r="W38">
        <f t="shared" si="20"/>
        <v>480</v>
      </c>
      <c r="X38">
        <f t="shared" si="21"/>
        <v>0</v>
      </c>
      <c r="Y38">
        <f t="shared" si="22"/>
        <v>480</v>
      </c>
      <c r="AD38" s="158">
        <f t="shared" si="25"/>
        <v>8</v>
      </c>
      <c r="AE38" s="158">
        <f t="shared" si="26"/>
        <v>0</v>
      </c>
      <c r="AF38" s="64">
        <f t="shared" si="27"/>
        <v>8</v>
      </c>
      <c r="AG38" s="169">
        <f t="shared" si="28"/>
        <v>16</v>
      </c>
      <c r="AH38" s="169">
        <f t="shared" si="29"/>
        <v>0</v>
      </c>
      <c r="AI38" s="64">
        <f t="shared" si="30"/>
        <v>16</v>
      </c>
      <c r="AJ38" s="169">
        <f t="shared" si="31"/>
        <v>8</v>
      </c>
      <c r="AK38" s="169">
        <f t="shared" si="32"/>
        <v>0</v>
      </c>
      <c r="AL38" s="64">
        <f t="shared" si="33"/>
        <v>8</v>
      </c>
    </row>
    <row r="39" spans="1:38" ht="15.75" x14ac:dyDescent="0.25">
      <c r="A39" s="2">
        <f t="shared" si="23"/>
        <v>46051</v>
      </c>
      <c r="B39" s="2">
        <f t="shared" si="12"/>
        <v>84</v>
      </c>
      <c r="C39" s="54" t="str">
        <f t="shared" si="13"/>
        <v>29.1. czwartek</v>
      </c>
      <c r="D39" s="159"/>
      <c r="E39" s="117" t="str">
        <f t="shared" si="34"/>
        <v xml:space="preserve"> </v>
      </c>
      <c r="F39" s="115">
        <v>8</v>
      </c>
      <c r="G39" s="115">
        <v>16</v>
      </c>
      <c r="H39" s="55">
        <f t="shared" si="0"/>
        <v>8</v>
      </c>
      <c r="I39" s="55">
        <f t="shared" si="1"/>
        <v>0</v>
      </c>
      <c r="J39" s="56">
        <f t="shared" si="39"/>
        <v>0</v>
      </c>
      <c r="K39" s="57">
        <f t="shared" si="14"/>
        <v>1</v>
      </c>
      <c r="L39" s="57">
        <f t="shared" si="15"/>
        <v>0</v>
      </c>
      <c r="M39" s="58" t="str">
        <f t="shared" si="3"/>
        <v>przerwa1</v>
      </c>
      <c r="N39" s="57">
        <f t="shared" si="16"/>
        <v>1</v>
      </c>
      <c r="O39" s="138"/>
      <c r="P39" s="149"/>
      <c r="Q39" s="138"/>
      <c r="R39" s="8"/>
      <c r="S39" s="60">
        <f t="shared" si="17"/>
        <v>0</v>
      </c>
      <c r="T39" s="60" t="str">
        <f t="shared" si="18"/>
        <v xml:space="preserve"> </v>
      </c>
      <c r="U39" s="60" t="str">
        <f t="shared" si="19"/>
        <v xml:space="preserve"> </v>
      </c>
      <c r="W39">
        <f t="shared" si="20"/>
        <v>480</v>
      </c>
      <c r="X39">
        <f t="shared" si="21"/>
        <v>0</v>
      </c>
      <c r="Y39">
        <f t="shared" si="22"/>
        <v>480</v>
      </c>
      <c r="AD39" s="158">
        <f t="shared" si="25"/>
        <v>8</v>
      </c>
      <c r="AE39" s="158">
        <f t="shared" si="26"/>
        <v>0</v>
      </c>
      <c r="AF39" s="64">
        <f t="shared" si="27"/>
        <v>8</v>
      </c>
      <c r="AG39" s="169">
        <f t="shared" si="28"/>
        <v>16</v>
      </c>
      <c r="AH39" s="169">
        <f t="shared" si="29"/>
        <v>0</v>
      </c>
      <c r="AI39" s="64">
        <f t="shared" si="30"/>
        <v>16</v>
      </c>
      <c r="AJ39" s="169">
        <f t="shared" si="31"/>
        <v>8</v>
      </c>
      <c r="AK39" s="169">
        <f t="shared" si="32"/>
        <v>0</v>
      </c>
      <c r="AL39" s="64">
        <f t="shared" si="33"/>
        <v>8</v>
      </c>
    </row>
    <row r="40" spans="1:38" ht="15.75" x14ac:dyDescent="0.25">
      <c r="A40" s="2">
        <f t="shared" si="23"/>
        <v>46052</v>
      </c>
      <c r="B40" s="2">
        <f t="shared" si="12"/>
        <v>84</v>
      </c>
      <c r="C40" s="54" t="str">
        <f t="shared" si="13"/>
        <v>30.1. piątek</v>
      </c>
      <c r="D40" s="159"/>
      <c r="E40" s="117" t="str">
        <f t="shared" si="34"/>
        <v xml:space="preserve"> </v>
      </c>
      <c r="F40" s="115">
        <v>8</v>
      </c>
      <c r="G40" s="115">
        <v>16</v>
      </c>
      <c r="H40" s="55">
        <f t="shared" si="0"/>
        <v>8</v>
      </c>
      <c r="I40" s="55">
        <f t="shared" si="1"/>
        <v>0</v>
      </c>
      <c r="J40" s="56">
        <f t="shared" si="39"/>
        <v>0</v>
      </c>
      <c r="K40" s="57">
        <f t="shared" si="14"/>
        <v>1</v>
      </c>
      <c r="L40" s="57">
        <f t="shared" si="15"/>
        <v>0</v>
      </c>
      <c r="M40" s="58" t="str">
        <f t="shared" si="3"/>
        <v>przerwa1</v>
      </c>
      <c r="N40" s="57">
        <f t="shared" si="16"/>
        <v>1</v>
      </c>
      <c r="O40" s="138"/>
      <c r="P40" s="149"/>
      <c r="Q40" s="138"/>
      <c r="R40" s="8"/>
      <c r="S40" s="60">
        <f t="shared" si="17"/>
        <v>0</v>
      </c>
      <c r="T40" s="60" t="str">
        <f t="shared" si="18"/>
        <v xml:space="preserve"> </v>
      </c>
      <c r="U40" s="60" t="str">
        <f t="shared" si="19"/>
        <v xml:space="preserve"> </v>
      </c>
      <c r="W40">
        <f t="shared" si="20"/>
        <v>480</v>
      </c>
      <c r="X40">
        <f t="shared" si="21"/>
        <v>0</v>
      </c>
      <c r="Y40">
        <f t="shared" si="22"/>
        <v>480</v>
      </c>
      <c r="AD40" s="158">
        <f t="shared" si="25"/>
        <v>8</v>
      </c>
      <c r="AE40" s="158">
        <f t="shared" si="26"/>
        <v>0</v>
      </c>
      <c r="AF40" s="64">
        <f t="shared" si="27"/>
        <v>8</v>
      </c>
      <c r="AG40" s="169">
        <f t="shared" si="28"/>
        <v>16</v>
      </c>
      <c r="AH40" s="169">
        <f t="shared" si="29"/>
        <v>0</v>
      </c>
      <c r="AI40" s="64">
        <f t="shared" si="30"/>
        <v>16</v>
      </c>
      <c r="AJ40" s="169">
        <f t="shared" si="31"/>
        <v>8</v>
      </c>
      <c r="AK40" s="169">
        <f t="shared" si="32"/>
        <v>0</v>
      </c>
      <c r="AL40" s="64">
        <f t="shared" si="33"/>
        <v>8</v>
      </c>
    </row>
    <row r="41" spans="1:38" ht="15.75" x14ac:dyDescent="0.25">
      <c r="A41" s="2">
        <f t="shared" si="23"/>
        <v>46053</v>
      </c>
      <c r="B41" s="2">
        <f t="shared" si="12"/>
        <v>84</v>
      </c>
      <c r="C41" s="54" t="str">
        <f t="shared" si="13"/>
        <v>31.1. sobota</v>
      </c>
      <c r="D41" s="159" t="s">
        <v>47</v>
      </c>
      <c r="E41" s="117" t="str">
        <f t="shared" si="34"/>
        <v>wolne</v>
      </c>
      <c r="F41" s="115"/>
      <c r="G41" s="115"/>
      <c r="H41" s="55" t="str">
        <f t="shared" si="0"/>
        <v/>
      </c>
      <c r="I41" s="55" t="str">
        <f t="shared" si="1"/>
        <v/>
      </c>
      <c r="J41" s="56" t="str">
        <f t="shared" si="39"/>
        <v/>
      </c>
      <c r="K41" s="57">
        <f t="shared" si="14"/>
        <v>0</v>
      </c>
      <c r="L41" s="57">
        <f t="shared" si="15"/>
        <v>0</v>
      </c>
      <c r="M41" s="58" t="str">
        <f t="shared" si="3"/>
        <v>przerwa1</v>
      </c>
      <c r="N41" s="57">
        <f t="shared" si="16"/>
        <v>0</v>
      </c>
      <c r="O41" s="138"/>
      <c r="P41" s="149"/>
      <c r="Q41" s="138"/>
      <c r="R41" s="8"/>
      <c r="S41" s="60" t="str">
        <f t="shared" si="17"/>
        <v xml:space="preserve"> </v>
      </c>
      <c r="T41" s="60" t="str">
        <f t="shared" si="18"/>
        <v xml:space="preserve"> </v>
      </c>
      <c r="U41" s="60" t="str">
        <f t="shared" si="19"/>
        <v xml:space="preserve"> </v>
      </c>
      <c r="W41">
        <f t="shared" si="20"/>
        <v>0</v>
      </c>
      <c r="X41">
        <f t="shared" si="21"/>
        <v>0</v>
      </c>
      <c r="Y41">
        <f t="shared" si="22"/>
        <v>0</v>
      </c>
      <c r="AD41" s="158">
        <f t="shared" si="25"/>
        <v>0</v>
      </c>
      <c r="AE41" s="158">
        <f t="shared" si="26"/>
        <v>0</v>
      </c>
      <c r="AF41" s="64" t="str">
        <f t="shared" si="27"/>
        <v xml:space="preserve"> </v>
      </c>
      <c r="AG41" s="169">
        <f t="shared" si="28"/>
        <v>0</v>
      </c>
      <c r="AH41" s="169">
        <f t="shared" si="29"/>
        <v>0</v>
      </c>
      <c r="AI41" s="64" t="str">
        <f t="shared" si="30"/>
        <v xml:space="preserve"> </v>
      </c>
      <c r="AJ41" s="169" t="str">
        <f t="shared" si="31"/>
        <v/>
      </c>
      <c r="AK41" s="169" t="str">
        <f t="shared" si="32"/>
        <v/>
      </c>
      <c r="AL41" s="64" t="str">
        <f t="shared" si="33"/>
        <v xml:space="preserve"> </v>
      </c>
    </row>
    <row r="42" spans="1:38" ht="15.75" x14ac:dyDescent="0.25">
      <c r="A42" s="1"/>
      <c r="B42" s="1"/>
      <c r="C42" s="54"/>
      <c r="D42" s="116"/>
      <c r="E42" s="117"/>
      <c r="F42" s="116"/>
      <c r="G42" s="116"/>
      <c r="H42" s="55"/>
      <c r="I42" s="55"/>
      <c r="J42" s="56"/>
      <c r="K42" s="57">
        <f>IF(OR((B42=83),(D42="w")),0,1)</f>
        <v>1</v>
      </c>
      <c r="L42" s="57">
        <f>IF(OR((D42="c"),(D42="u"),(D42="um"),(D42="op"),(D42="oc"),(D42="s")),1,0)</f>
        <v>0</v>
      </c>
      <c r="M42" s="58" t="str">
        <f t="shared" si="3"/>
        <v>przerwa1</v>
      </c>
      <c r="N42" s="57">
        <f>IF(OR((B42=83),(D42="w"),(D42="g"),(D42="c"),(D42="u")),0,1)</f>
        <v>1</v>
      </c>
      <c r="O42" s="140">
        <f>TRUNC(SUM(O11:O41)/60)+((SUM(O11:O41)/60)-(TRUNC(SUM(O11:O41)/60)))*60/100</f>
        <v>0</v>
      </c>
      <c r="P42" t="s">
        <v>132</v>
      </c>
      <c r="Q42" s="8"/>
      <c r="R42" s="8"/>
      <c r="S42" s="65">
        <f>SUM(S11:S41)</f>
        <v>0</v>
      </c>
      <c r="T42" s="66">
        <f>SUM(T11:T41)</f>
        <v>0</v>
      </c>
      <c r="U42" s="66">
        <f>SUM(U11:U41)</f>
        <v>0</v>
      </c>
    </row>
    <row r="43" spans="1:38" x14ac:dyDescent="0.25">
      <c r="A43" s="1"/>
      <c r="B43" s="1"/>
      <c r="C43" s="67"/>
      <c r="D43" s="21"/>
      <c r="E43" s="21"/>
      <c r="F43" s="21"/>
      <c r="G43" s="21"/>
      <c r="H43" s="21"/>
      <c r="I43" s="68"/>
      <c r="J43" s="68"/>
      <c r="K43" s="69"/>
      <c r="L43" s="69"/>
      <c r="M43" s="69"/>
      <c r="N43" s="69"/>
      <c r="O43" s="144"/>
      <c r="P43" s="8"/>
      <c r="Q43" s="8"/>
      <c r="R43" s="8"/>
      <c r="S43" s="71"/>
      <c r="T43" s="66"/>
      <c r="U43" s="8"/>
    </row>
    <row r="44" spans="1:38" x14ac:dyDescent="0.25">
      <c r="A44" s="1"/>
      <c r="B44" s="1"/>
      <c r="C44" s="67" t="s">
        <v>30</v>
      </c>
      <c r="D44" s="21"/>
      <c r="E44" s="72">
        <f>SUM(K11:K41)</f>
        <v>20</v>
      </c>
      <c r="F44" s="21" t="s">
        <v>31</v>
      </c>
      <c r="G44" s="21"/>
      <c r="H44" s="21"/>
      <c r="I44" s="73" t="s">
        <v>32</v>
      </c>
      <c r="J44" s="72">
        <f>SUM(N11:N41)</f>
        <v>18</v>
      </c>
      <c r="K44" s="74" t="s">
        <v>31</v>
      </c>
      <c r="L44" s="74"/>
      <c r="M44" s="74"/>
      <c r="N44" s="21"/>
      <c r="O44" s="141" t="s">
        <v>31</v>
      </c>
      <c r="P44" s="8"/>
      <c r="W44">
        <f>((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60)</f>
        <v>8640</v>
      </c>
      <c r="X44">
        <f>(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-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100)</f>
        <v>0</v>
      </c>
      <c r="Y44">
        <f>((TRUNC(O42)*60)+(O42-TRUNC(O42))*100)</f>
        <v>0</v>
      </c>
      <c r="Z44">
        <f>W44+X44+Y44</f>
        <v>8640</v>
      </c>
      <c r="AA44">
        <f>Z44/60</f>
        <v>144</v>
      </c>
      <c r="AB44">
        <f>TRUNC(AA44)</f>
        <v>144</v>
      </c>
      <c r="AC44">
        <f>(AA44-AB44)*60/100</f>
        <v>0</v>
      </c>
      <c r="AD44">
        <f>AB44+AC44</f>
        <v>144</v>
      </c>
    </row>
    <row r="45" spans="1:38" x14ac:dyDescent="0.25">
      <c r="A45" s="1"/>
      <c r="B45" s="1"/>
      <c r="C45" s="75" t="s">
        <v>33</v>
      </c>
      <c r="D45" s="21"/>
      <c r="E45" s="76">
        <f>ROUND(SUM(K11:K41)*godz,2)</f>
        <v>160</v>
      </c>
      <c r="F45" s="21" t="s">
        <v>34</v>
      </c>
      <c r="G45" s="21"/>
      <c r="H45" s="21"/>
      <c r="I45" s="73" t="s">
        <v>135</v>
      </c>
      <c r="J45" s="76">
        <f>AB44+AC44</f>
        <v>144</v>
      </c>
      <c r="K45" s="74" t="s">
        <v>136</v>
      </c>
      <c r="L45" s="74"/>
      <c r="M45" s="74"/>
      <c r="N45" s="21"/>
      <c r="O45" s="141" t="s">
        <v>133</v>
      </c>
      <c r="P45" s="8"/>
    </row>
    <row r="46" spans="1:38" x14ac:dyDescent="0.25">
      <c r="A46" s="1"/>
      <c r="B46" s="1"/>
      <c r="C46" s="67"/>
      <c r="D46" s="21"/>
      <c r="E46" s="76"/>
      <c r="F46" s="21"/>
      <c r="G46" s="21"/>
      <c r="H46" s="21"/>
      <c r="I46" s="73"/>
      <c r="J46" s="76"/>
      <c r="K46" s="74"/>
      <c r="L46" s="74"/>
      <c r="M46" s="74"/>
      <c r="N46" s="21"/>
      <c r="O46" s="141"/>
      <c r="P46" s="8"/>
    </row>
    <row r="47" spans="1:38" x14ac:dyDescent="0.25">
      <c r="A47" s="1"/>
      <c r="B47" s="1"/>
      <c r="C47" s="67"/>
      <c r="D47" s="21"/>
      <c r="E47" s="76"/>
      <c r="F47" s="21"/>
      <c r="G47" s="21"/>
      <c r="H47" s="21"/>
      <c r="I47" s="73" t="s">
        <v>36</v>
      </c>
      <c r="J47" s="72">
        <f>SUM(L11:L41)</f>
        <v>2</v>
      </c>
      <c r="K47" s="74" t="s">
        <v>37</v>
      </c>
      <c r="L47" s="74"/>
      <c r="M47" s="74"/>
      <c r="N47" s="21"/>
      <c r="O47" s="141" t="s">
        <v>37</v>
      </c>
      <c r="P47" s="8"/>
    </row>
    <row r="48" spans="1:38" x14ac:dyDescent="0.25">
      <c r="A48" s="1"/>
      <c r="B48" s="1"/>
      <c r="C48" s="67"/>
      <c r="D48" s="21"/>
      <c r="E48" s="21"/>
      <c r="F48" s="21"/>
      <c r="G48" s="21"/>
      <c r="H48" s="21"/>
      <c r="I48" s="73" t="s">
        <v>147</v>
      </c>
      <c r="J48" s="162"/>
      <c r="K48" s="78"/>
      <c r="L48" s="78"/>
      <c r="M48" s="78"/>
      <c r="N48" s="78"/>
      <c r="O48" s="141" t="s">
        <v>149</v>
      </c>
      <c r="P48" s="8"/>
    </row>
    <row r="49" spans="3:22" x14ac:dyDescent="0.25">
      <c r="C49" s="80" t="s">
        <v>61</v>
      </c>
      <c r="D49" s="21"/>
      <c r="E49" s="21">
        <f>TRUNC((((TRUNC(J45)*60)+(J45-TRUNC(J45))*100)-E45*60)/60)+((((((TRUNC(J45)*60)+(J45-TRUNC(J45))*100)-E45*60)/60)-TRUNC((((TRUNC(J45)*60)+(J45-TRUNC(J45))*100)-E45*60)/60))*60/100)</f>
        <v>-16</v>
      </c>
      <c r="F49" s="21" t="s">
        <v>133</v>
      </c>
      <c r="G49" s="8"/>
      <c r="H49" s="73"/>
      <c r="I49" s="73" t="s">
        <v>148</v>
      </c>
      <c r="J49" s="76">
        <f>TRUNC((((ROUND(J47*godz,2))*60)-(TRUNC(J48)*60+(J48-TRUNC(J48))*100))/60)+((((((ROUND(J47*godz,2))*60)-(TRUNC(J48)*60+(J48-TRUNC(J48))*100))/60)-TRUNC((((ROUND(J47*godz,2))*60)-(TRUNC(J48)*60+(J48-TRUNC(J48))*100))/60))*60/100)</f>
        <v>16</v>
      </c>
      <c r="K49" s="77"/>
      <c r="L49" s="21"/>
      <c r="M49" s="21"/>
      <c r="N49" s="21"/>
      <c r="O49" s="142"/>
      <c r="P49" s="21"/>
      <c r="V49" s="158"/>
    </row>
    <row r="50" spans="3:22" ht="15.75" customHeight="1" thickBot="1" x14ac:dyDescent="0.3">
      <c r="C50" s="163" t="s">
        <v>38</v>
      </c>
      <c r="D50" s="164"/>
      <c r="E50" s="165">
        <f>J49</f>
        <v>16</v>
      </c>
      <c r="F50" s="164" t="s">
        <v>34</v>
      </c>
      <c r="G50" s="82"/>
      <c r="H50" s="21"/>
      <c r="I50" s="83"/>
      <c r="J50" s="83"/>
      <c r="K50" s="21"/>
      <c r="L50" s="21"/>
      <c r="M50" s="21"/>
      <c r="N50" s="21"/>
      <c r="O50" s="30"/>
      <c r="P50" s="8"/>
    </row>
    <row r="51" spans="3:22" ht="15.75" thickBot="1" x14ac:dyDescent="0.3">
      <c r="C51" s="166" t="s">
        <v>134</v>
      </c>
      <c r="D51" s="164"/>
      <c r="E51" s="165">
        <f>TRUNC(((TRUNC(J45)*60+(J45-TRUNC(J45))*100)+(TRUNC(J49)*60+(J49-TRUNC(J49))*100))/60)+((((TRUNC(J45)*60+(J45-TRUNC(J45))*100)+(TRUNC(J49)*60+(J49-TRUNC(J49))*100))/60)-TRUNC(((TRUNC(J45)*60+(J45-TRUNC(J45))*100)+(TRUNC(J49)*60+(J49-TRUNC(J49))*100))/60))*60/100</f>
        <v>160</v>
      </c>
      <c r="F51" s="164" t="s">
        <v>34</v>
      </c>
      <c r="G51" s="21"/>
      <c r="H51" s="21"/>
      <c r="I51" s="83" t="s">
        <v>39</v>
      </c>
      <c r="J51" s="84">
        <f>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+(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-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)*60/100)</f>
        <v>0</v>
      </c>
      <c r="K51" s="83" t="s">
        <v>133</v>
      </c>
      <c r="L51" s="83"/>
      <c r="M51" s="85"/>
      <c r="N51" s="21"/>
      <c r="O51" s="143" t="s">
        <v>34</v>
      </c>
      <c r="P51" s="8"/>
    </row>
    <row r="52" spans="3:22" ht="15.75" thickBot="1" x14ac:dyDescent="0.3">
      <c r="C52" s="86"/>
      <c r="D52" s="87"/>
      <c r="E52" s="88" t="s">
        <v>40</v>
      </c>
      <c r="F52" s="89"/>
      <c r="G52" s="87"/>
      <c r="H52" s="87"/>
      <c r="I52" s="88" t="s">
        <v>40</v>
      </c>
      <c r="J52" s="88" t="s">
        <v>41</v>
      </c>
      <c r="K52" s="87"/>
      <c r="L52" s="87"/>
      <c r="M52" s="87"/>
      <c r="N52" s="87"/>
      <c r="O52" s="30"/>
      <c r="P52" s="8"/>
    </row>
    <row r="53" spans="3:22" x14ac:dyDescent="0.25">
      <c r="C53" s="91" t="s">
        <v>42</v>
      </c>
      <c r="D53" s="13"/>
      <c r="E53" s="13"/>
      <c r="F53" s="13"/>
      <c r="G53" s="13"/>
      <c r="H53" s="13"/>
      <c r="I53" s="92"/>
      <c r="J53" s="92"/>
      <c r="K53" s="92"/>
      <c r="L53" s="92"/>
      <c r="M53" s="92"/>
      <c r="N53" s="13"/>
      <c r="O53" s="147"/>
      <c r="P53" s="8"/>
    </row>
    <row r="54" spans="3:22" x14ac:dyDescent="0.25">
      <c r="C54" s="67" t="s">
        <v>43</v>
      </c>
      <c r="D54" s="21"/>
      <c r="E54" s="94">
        <v>6.56</v>
      </c>
      <c r="F54" s="83" t="s">
        <v>34</v>
      </c>
      <c r="G54" s="21"/>
      <c r="H54" s="21"/>
      <c r="I54" s="95" t="s">
        <v>44</v>
      </c>
      <c r="J54" s="98">
        <f>TRUNC(SUM(((TRUNC(J51)*60)+((J51-TRUNC(J51))*100)),(TRUNC(E54)*60)+((E54-TRUNC(E54))*100))/60)+((SUM(((TRUNC(J51)*60)+((J51-TRUNC(J51))*100)),(TRUNC(E54)*60)+((E54-TRUNC(E54))*100))/60)-TRUNC((SUM(((TRUNC(J51)*60)+((J51-TRUNC(J51))*100)),(TRUNC(E54)*60)+((E54-TRUNC(E54))*100))/60)))*60/100</f>
        <v>6.56</v>
      </c>
      <c r="K54" s="96" t="s">
        <v>133</v>
      </c>
      <c r="L54" s="81"/>
      <c r="M54" s="81"/>
      <c r="N54" s="21"/>
      <c r="O54" s="145" t="s">
        <v>34</v>
      </c>
      <c r="P54" s="8"/>
    </row>
    <row r="55" spans="3:22" ht="15.75" thickBot="1" x14ac:dyDescent="0.3">
      <c r="C55" s="86"/>
      <c r="D55" s="87"/>
      <c r="E55" s="87"/>
      <c r="F55" s="87"/>
      <c r="G55" s="87"/>
      <c r="H55" s="87"/>
      <c r="I55" s="97"/>
      <c r="J55" s="97"/>
      <c r="K55" s="97"/>
      <c r="L55" s="97"/>
      <c r="M55" s="97"/>
      <c r="N55" s="87"/>
      <c r="O55" s="146"/>
      <c r="P55" s="8"/>
      <c r="T55" s="158"/>
    </row>
    <row r="56" spans="3:22" x14ac:dyDescent="0.25">
      <c r="C56" s="10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</row>
    <row r="57" spans="3:22" x14ac:dyDescent="0.25">
      <c r="C57" s="6">
        <f>SUM(K11:K41)</f>
        <v>20</v>
      </c>
    </row>
  </sheetData>
  <sheetProtection selectLockedCells="1"/>
  <dataConsolidate/>
  <mergeCells count="3">
    <mergeCell ref="E2:F2"/>
    <mergeCell ref="E3:F3"/>
    <mergeCell ref="E4:F4"/>
  </mergeCells>
  <pageMargins left="0.7" right="0.7" top="0.75" bottom="0.75" header="0.3" footer="0.3"/>
  <pageSetup paperSize="9"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Dane!$A$1:$A$12</xm:f>
          </x14:formula1>
          <xm:sqref>D11:D42</xm:sqref>
        </x14:dataValidation>
        <x14:dataValidation type="list" allowBlank="1" showInputMessage="1" showErrorMessage="1">
          <x14:formula1>
            <xm:f>Dane!$G$2:$G$16</xm:f>
          </x14:formula1>
          <xm:sqref>P11:P42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AL58"/>
  <sheetViews>
    <sheetView tabSelected="1" topLeftCell="C1" zoomScaleNormal="100" workbookViewId="0">
      <selection activeCell="F24" sqref="F24:G24"/>
    </sheetView>
  </sheetViews>
  <sheetFormatPr defaultColWidth="9.140625" defaultRowHeight="15" x14ac:dyDescent="0.25"/>
  <cols>
    <col min="1" max="1" width="3.42578125" hidden="1" customWidth="1"/>
    <col min="2" max="2" width="3" hidden="1" customWidth="1"/>
    <col min="3" max="3" width="19.85546875" customWidth="1"/>
    <col min="4" max="4" width="3.7109375" customWidth="1"/>
    <col min="5" max="5" width="14.28515625" bestFit="1" customWidth="1"/>
    <col min="8" max="8" width="7.42578125" customWidth="1"/>
    <col min="9" max="9" width="15.5703125" bestFit="1" customWidth="1"/>
    <col min="10" max="10" width="7" customWidth="1"/>
    <col min="11" max="11" width="11.5703125" hidden="1" customWidth="1"/>
    <col min="12" max="12" width="4.28515625" hidden="1" customWidth="1"/>
    <col min="13" max="13" width="5.42578125" hidden="1" customWidth="1"/>
    <col min="14" max="14" width="8.7109375" hidden="1" customWidth="1"/>
    <col min="15" max="15" width="14.7109375" customWidth="1"/>
    <col min="17" max="17" width="26.5703125" customWidth="1"/>
    <col min="19" max="19" width="9.140625" hidden="1" customWidth="1"/>
    <col min="20" max="20" width="13.85546875" customWidth="1"/>
    <col min="21" max="21" width="14.85546875" customWidth="1"/>
    <col min="23" max="23" width="15" hidden="1" customWidth="1"/>
    <col min="24" max="24" width="14.42578125" hidden="1" customWidth="1"/>
    <col min="25" max="25" width="11.42578125" hidden="1" customWidth="1"/>
    <col min="26" max="31" width="9.140625" hidden="1" customWidth="1"/>
    <col min="32" max="32" width="12.28515625" bestFit="1" customWidth="1"/>
    <col min="33" max="33" width="9.140625" hidden="1" customWidth="1"/>
    <col min="34" max="34" width="7.28515625" hidden="1" customWidth="1"/>
    <col min="35" max="35" width="11.28515625" customWidth="1"/>
    <col min="36" max="36" width="9.140625" hidden="1" customWidth="1"/>
    <col min="37" max="37" width="7" hidden="1" customWidth="1"/>
    <col min="38" max="38" width="15.42578125" customWidth="1"/>
  </cols>
  <sheetData>
    <row r="1" spans="1:38" ht="18.75" thickBot="1" x14ac:dyDescent="0.3">
      <c r="A1" s="5" t="s">
        <v>48</v>
      </c>
      <c r="B1" s="1"/>
      <c r="C1" s="103" t="s">
        <v>0</v>
      </c>
      <c r="D1" s="104">
        <v>2</v>
      </c>
      <c r="E1" s="102"/>
      <c r="F1" s="102"/>
      <c r="G1" s="103" t="s">
        <v>1</v>
      </c>
      <c r="H1" s="105" t="str">
        <f>'Januar 2026'!rok</f>
        <v>2026</v>
      </c>
      <c r="I1" s="106" t="s">
        <v>2</v>
      </c>
      <c r="J1" s="104">
        <v>8</v>
      </c>
      <c r="K1" s="108"/>
      <c r="L1" s="109"/>
      <c r="M1" s="109"/>
      <c r="N1" s="110"/>
      <c r="O1" s="8"/>
      <c r="P1" s="8"/>
      <c r="Q1" s="9" t="str">
        <f>Dane!A2</f>
        <v>w</v>
      </c>
      <c r="R1" s="10" t="str">
        <f>Dane!B2</f>
        <v>dzień wolny ustawowo</v>
      </c>
      <c r="S1" s="8"/>
      <c r="T1" s="8"/>
      <c r="U1" s="123" t="str">
        <f>Dane!A9</f>
        <v>oc</v>
      </c>
      <c r="V1" s="8" t="str">
        <f>Dane!B9</f>
        <v>opieka nad chorym dzieckiem</v>
      </c>
    </row>
    <row r="2" spans="1:38" x14ac:dyDescent="0.25">
      <c r="A2" s="2"/>
      <c r="B2" s="1"/>
      <c r="C2" s="11"/>
      <c r="D2" s="11" t="s">
        <v>4</v>
      </c>
      <c r="E2" s="175"/>
      <c r="F2" s="176"/>
      <c r="G2" s="16"/>
      <c r="H2" s="17"/>
      <c r="I2" s="28" t="s">
        <v>5</v>
      </c>
      <c r="J2" s="101">
        <v>40</v>
      </c>
      <c r="K2" s="12" t="s">
        <v>6</v>
      </c>
      <c r="L2" s="13"/>
      <c r="M2" s="13"/>
      <c r="N2" s="14"/>
      <c r="O2" s="12" t="s">
        <v>6</v>
      </c>
      <c r="P2" s="8"/>
      <c r="Q2" s="9" t="str">
        <f>Dane!A3</f>
        <v>u</v>
      </c>
      <c r="R2" s="10" t="str">
        <f>Dane!B3</f>
        <v>urlop</v>
      </c>
      <c r="S2" s="8"/>
      <c r="T2" s="8"/>
      <c r="U2" s="122" t="str">
        <f>Dane!A10</f>
        <v>um</v>
      </c>
      <c r="V2" s="8" t="str">
        <f>Dane!B10</f>
        <v>urlop macierzyński</v>
      </c>
    </row>
    <row r="3" spans="1:38" x14ac:dyDescent="0.25">
      <c r="A3" s="1"/>
      <c r="B3" s="1"/>
      <c r="C3" s="15"/>
      <c r="D3" s="15" t="s">
        <v>46</v>
      </c>
      <c r="E3" s="175"/>
      <c r="F3" s="176"/>
      <c r="G3" s="16"/>
      <c r="H3" s="17"/>
      <c r="I3" s="18"/>
      <c r="J3" s="19"/>
      <c r="K3" s="20"/>
      <c r="L3" s="21"/>
      <c r="M3" s="21"/>
      <c r="N3" s="22"/>
      <c r="O3" s="20"/>
      <c r="P3" s="8"/>
      <c r="Q3" s="9" t="str">
        <f>Dane!A4</f>
        <v>c</v>
      </c>
      <c r="R3" s="10" t="str">
        <f>Dane!B4</f>
        <v>choroba</v>
      </c>
      <c r="S3" s="8"/>
      <c r="T3" s="8"/>
      <c r="U3" s="122" t="str">
        <f>Dane!A11</f>
        <v>uz</v>
      </c>
      <c r="V3" s="8" t="str">
        <f>Dane!B11</f>
        <v>urlop zaplanowany</v>
      </c>
    </row>
    <row r="4" spans="1:38" ht="15.75" thickBot="1" x14ac:dyDescent="0.3">
      <c r="A4" s="3"/>
      <c r="B4" s="1"/>
      <c r="C4" s="15"/>
      <c r="D4" s="23" t="s">
        <v>11</v>
      </c>
      <c r="E4" s="175"/>
      <c r="F4" s="176"/>
      <c r="G4" s="16"/>
      <c r="H4" s="17"/>
      <c r="I4" s="18"/>
      <c r="J4" s="19"/>
      <c r="K4" s="20"/>
      <c r="L4" s="21"/>
      <c r="M4" s="21"/>
      <c r="N4" s="22"/>
      <c r="O4" s="20"/>
      <c r="P4" s="8"/>
      <c r="Q4" s="9" t="str">
        <f>Dane!A5</f>
        <v>g</v>
      </c>
      <c r="R4" s="10" t="str">
        <f>Dane!B5</f>
        <v xml:space="preserve">godz.(rządanie pracownika) </v>
      </c>
      <c r="S4" s="8"/>
      <c r="T4" s="8"/>
      <c r="U4" s="122" t="str">
        <f>Dane!A12</f>
        <v>gp</v>
      </c>
      <c r="V4" t="str">
        <f>Dane!B12</f>
        <v xml:space="preserve">godz.(rządanie pracodawcy) </v>
      </c>
    </row>
    <row r="5" spans="1:38" x14ac:dyDescent="0.25">
      <c r="A5" s="3"/>
      <c r="B5" s="1"/>
      <c r="C5" s="15"/>
      <c r="D5" s="24"/>
      <c r="E5" s="25"/>
      <c r="F5" s="26"/>
      <c r="G5" s="27"/>
      <c r="H5" s="17"/>
      <c r="I5" s="28" t="s">
        <v>12</v>
      </c>
      <c r="J5" s="111">
        <v>0</v>
      </c>
      <c r="K5" s="29" t="s">
        <v>13</v>
      </c>
      <c r="L5" s="21"/>
      <c r="M5" s="21"/>
      <c r="N5" s="30"/>
      <c r="O5" s="29" t="s">
        <v>13</v>
      </c>
      <c r="P5" s="8"/>
      <c r="Q5" s="9" t="str">
        <f>Dane!A6</f>
        <v>s</v>
      </c>
      <c r="R5" s="10" t="str">
        <f>Dane!B6</f>
        <v>urlop specjalny/okolicznościow</v>
      </c>
      <c r="S5" s="8"/>
      <c r="T5" s="8"/>
      <c r="U5" s="9"/>
      <c r="AF5" s="170"/>
    </row>
    <row r="6" spans="1:38" x14ac:dyDescent="0.25">
      <c r="A6" s="3"/>
      <c r="B6" s="1"/>
      <c r="C6" s="15"/>
      <c r="D6" s="23"/>
      <c r="E6" s="31"/>
      <c r="F6" s="32"/>
      <c r="G6" s="33"/>
      <c r="H6" s="17"/>
      <c r="I6" s="21"/>
      <c r="J6" s="112">
        <v>0</v>
      </c>
      <c r="K6" s="29" t="s">
        <v>16</v>
      </c>
      <c r="L6" s="21"/>
      <c r="M6" s="21"/>
      <c r="N6" s="30"/>
      <c r="O6" s="29" t="s">
        <v>16</v>
      </c>
      <c r="P6" s="8"/>
      <c r="Q6" s="9" t="str">
        <f>Dane!A7</f>
        <v>a</v>
      </c>
      <c r="R6" s="10" t="str">
        <f>Dane!B7</f>
        <v>nieobecny</v>
      </c>
      <c r="S6" s="8"/>
      <c r="T6" s="8"/>
      <c r="U6" s="8"/>
      <c r="AF6" s="170"/>
    </row>
    <row r="7" spans="1:38" ht="15.75" thickBot="1" x14ac:dyDescent="0.3">
      <c r="A7" s="1"/>
      <c r="B7" s="1"/>
      <c r="C7" s="34"/>
      <c r="D7" s="35"/>
      <c r="E7" s="35"/>
      <c r="F7" s="35"/>
      <c r="G7" s="35"/>
      <c r="H7" s="17"/>
      <c r="I7" s="28" t="s">
        <v>17</v>
      </c>
      <c r="J7" s="113">
        <v>8</v>
      </c>
      <c r="K7" s="20" t="s">
        <v>18</v>
      </c>
      <c r="L7" s="21"/>
      <c r="M7" s="21"/>
      <c r="N7" s="30"/>
      <c r="O7" s="20" t="s">
        <v>18</v>
      </c>
      <c r="P7" s="8"/>
      <c r="Q7" s="9" t="str">
        <f>Dane!A8</f>
        <v>op</v>
      </c>
      <c r="R7" s="10" t="str">
        <f>Dane!B8</f>
        <v>opieka nad zdrowym dzieckiem</v>
      </c>
      <c r="S7" s="8"/>
      <c r="T7" s="8"/>
      <c r="U7" s="8"/>
      <c r="AF7" s="170"/>
    </row>
    <row r="8" spans="1:38" ht="23.25" x14ac:dyDescent="0.35">
      <c r="A8" s="2"/>
      <c r="B8" s="2"/>
      <c r="C8" s="99" t="s">
        <v>45</v>
      </c>
      <c r="D8" s="7"/>
      <c r="E8" s="7"/>
      <c r="F8" s="100" t="str">
        <f>TEXT(DATE(H1,D1,1),"MMMM rrrr")</f>
        <v>luty 2026</v>
      </c>
      <c r="G8" s="36"/>
      <c r="H8" s="37"/>
      <c r="I8" s="38"/>
      <c r="J8" s="39"/>
      <c r="K8" s="39"/>
      <c r="L8" s="39"/>
      <c r="M8" s="39"/>
      <c r="N8" s="40"/>
      <c r="O8" s="41"/>
      <c r="P8" s="42"/>
      <c r="Q8" s="41"/>
      <c r="R8" s="42"/>
      <c r="S8" s="41"/>
      <c r="T8" s="41"/>
      <c r="U8" s="42"/>
      <c r="AF8" s="170"/>
    </row>
    <row r="9" spans="1:38" ht="15.75" thickBot="1" x14ac:dyDescent="0.3">
      <c r="A9" s="2"/>
      <c r="B9" s="2"/>
      <c r="C9" s="43"/>
      <c r="D9" s="44" t="s">
        <v>21</v>
      </c>
      <c r="E9" s="45" t="str">
        <f>TEXT(F9,"DDDD ")</f>
        <v xml:space="preserve">niedziela </v>
      </c>
      <c r="F9" s="45">
        <f>DATE(H1,D1,1)</f>
        <v>46054</v>
      </c>
      <c r="G9" s="44" t="s">
        <v>22</v>
      </c>
      <c r="H9" s="46" t="str">
        <f>TEXT(I9,"DDDD ")</f>
        <v xml:space="preserve">sobota </v>
      </c>
      <c r="I9" s="45">
        <f>DATE(YEAR(F9),MONTH(F9+31),DAY(F9))-1</f>
        <v>46081</v>
      </c>
      <c r="J9" s="47"/>
      <c r="K9" s="47"/>
      <c r="L9" s="47"/>
      <c r="M9" s="47"/>
      <c r="N9" s="30"/>
      <c r="O9" s="48"/>
      <c r="P9" s="49"/>
      <c r="Q9" s="48"/>
      <c r="R9" s="49"/>
      <c r="S9" s="48"/>
      <c r="T9" s="48"/>
      <c r="U9" s="49"/>
      <c r="AF9" s="170"/>
    </row>
    <row r="10" spans="1:38" ht="52.5" thickBot="1" x14ac:dyDescent="0.3">
      <c r="A10" s="4"/>
      <c r="B10" s="4"/>
      <c r="C10" s="50" t="s">
        <v>23</v>
      </c>
      <c r="D10" s="51"/>
      <c r="E10" s="51" t="s">
        <v>24</v>
      </c>
      <c r="F10" s="51" t="s">
        <v>25</v>
      </c>
      <c r="G10" s="51" t="s">
        <v>26</v>
      </c>
      <c r="H10" s="51" t="s">
        <v>27</v>
      </c>
      <c r="I10" s="51" t="s">
        <v>137</v>
      </c>
      <c r="J10" s="51" t="s">
        <v>28</v>
      </c>
      <c r="K10" s="51"/>
      <c r="L10" s="51" t="s">
        <v>100</v>
      </c>
      <c r="M10" s="51"/>
      <c r="N10" s="52"/>
      <c r="O10" s="51" t="s">
        <v>29</v>
      </c>
      <c r="P10" s="51" t="s">
        <v>105</v>
      </c>
      <c r="Q10" s="136" t="s">
        <v>101</v>
      </c>
      <c r="R10" s="53"/>
      <c r="S10" s="51"/>
      <c r="T10" s="114" t="s">
        <v>49</v>
      </c>
      <c r="U10" s="114" t="s">
        <v>50</v>
      </c>
      <c r="W10" t="s">
        <v>138</v>
      </c>
      <c r="X10" t="s">
        <v>139</v>
      </c>
      <c r="Y10" t="s">
        <v>140</v>
      </c>
      <c r="AF10" s="171" t="s">
        <v>152</v>
      </c>
      <c r="AG10" s="172"/>
      <c r="AH10" s="172"/>
      <c r="AI10" s="172" t="s">
        <v>153</v>
      </c>
      <c r="AJ10" s="172"/>
      <c r="AK10" s="172"/>
      <c r="AL10" s="172" t="s">
        <v>154</v>
      </c>
    </row>
    <row r="11" spans="1:38" ht="15.75" x14ac:dyDescent="0.25">
      <c r="A11" s="2">
        <f>DATE(H1,D1,1)</f>
        <v>46054</v>
      </c>
      <c r="B11" s="2">
        <f>CODE(TEXT(A11,"TTTT"))</f>
        <v>84</v>
      </c>
      <c r="C11" s="54" t="str">
        <f t="shared" ref="C11:C38" si="0">TEXT(A11,"DD.M. DDDD")</f>
        <v>01.2. niedziela</v>
      </c>
      <c r="D11" s="159" t="s">
        <v>47</v>
      </c>
      <c r="E11" s="117" t="str">
        <f>IF(D11="w","wolne",IF(D11="u","urlop",IF(D11="c","choroba",IF(D11="g","godziny",IF(D11="a","nieobecny",IF(D11="op","opieka"," "))))))</f>
        <v>wolne</v>
      </c>
      <c r="F11" s="115"/>
      <c r="G11" s="115"/>
      <c r="H11" s="55" t="str">
        <f t="shared" ref="H11:H38" si="1">IF(D11="d",(((((TRUNC(G11)-1)-TRUNC(F11))*60)+((G11-TRUNC(G11))*100)+(60-(F11-TRUNC(F11))*100))-(IF(M11&lt;przerwa1,pause,przerwa1)))/60,IF((OR((B11=83),(D11="u"),(D11="uz"),(D11="a"),(D11="c"),(D11="s"),(AND(D11="w",F11="")),(D11="oc"),(D11="um"),(D11="op"),(D11="oc"))),"",IF(OR(D11="g",AND(D11="gp",F11="")),0,TRUNC((((TRUNC(G11)*60+(G11-(TRUNC(G11)))*100)-(TRUNC(F11)*60+(F11-TRUNC(F11))*100))-(IF(M11&lt;przerwa1,pause,przerwa1)))/60)+(((((TRUNC(G11)*60+(G11-(TRUNC(G11)))*100)-(TRUNC(F11)*60+(F11-TRUNC(F11))*100))-(IF(M11&lt;przerwa1,pause,przerwa1)))/60)-TRUNC(((((TRUNC(G11)*60+(G11-(TRUNC(G11)))*100)-(TRUNC(F11)*60+(F11-TRUNC(F11))*100))-(IF(M11&lt;przerwa1,pause,przerwa1)))/60)))*60/100)))</f>
        <v/>
      </c>
      <c r="I11" s="55" t="str">
        <f t="shared" ref="I11:I38" si="2">IF(AND(D11="gp",F11=""),-(TRUNC(godz/1.5)+((godz/1.5)-TRUNC(godz/1.5))*60/100),IF(AND(D11="gp",F11&lt;&gt;"",G11&lt;&gt;""),ROUND(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+(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-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)*60/100,2),IF(OR((B11=83),(D11="w"),(D11="s"),(D11="c"),(D11="a"),(D11="oc"),(D11="um"),(D11="op"),(D11="uz"),(D11="u")),"",ROUND((TRUNC(H11-godz)+(((TRUNC(H11)*60)+(H11-TRUNC(H11))*100)-(godz*60)-(TRUNC(H11-godz)*60))/100),2))))</f>
        <v/>
      </c>
      <c r="J11" s="56" t="str">
        <f t="shared" ref="J11:J38" si="3">IF(D11="gp",(TRUNC(I11)*60+(I11-TRUNC(I11))*100),IF(OR((I11=""),(B11=83)),"",IF((I11=0),0,TRUNC(H11-godz)*60+(((TRUNC(H11)*60)+(H11-TRUNC(H11))*100)-(godz*60)-(TRUNC(H11-godz)*60)))))</f>
        <v/>
      </c>
      <c r="K11" s="57">
        <f t="shared" ref="K11:K17" si="4">IF(OR((B11=83),(D11="w")),0,1)</f>
        <v>0</v>
      </c>
      <c r="L11" s="57">
        <f>IF(OR((D11="c"),(D11="u"),(D11="uz"),(D11="um"),(D11="op"),(D11="oc"),(D11="s")),1,0)</f>
        <v>0</v>
      </c>
      <c r="M11" s="58" t="str">
        <f t="shared" ref="M11:M39" si="5">IF(((((((TRUNC(G11)-1)-TRUNC(F11))*60)+((G11-TRUNC(G11))*100)+(60-(F11-TRUNC(F11))*100)))/100)&lt;pause2,"przerwa1","pause")</f>
        <v>przerwa1</v>
      </c>
      <c r="N11" s="57">
        <f>IF(OR((B11=83),(D11="w"),(D11="g"),(D11="c"),(D11="u"),(D11="uz"),(D11="op"),(D11="oc")),0,1)</f>
        <v>0</v>
      </c>
      <c r="O11" s="137"/>
      <c r="P11" s="149"/>
      <c r="Q11" s="137"/>
      <c r="R11" s="8"/>
      <c r="S11" s="60" t="str">
        <f t="shared" ref="S11:S41" si="6">IF(H11&lt;&gt;"",IF(D11="w",((TRUNC(H11)*60)+(H11-TRUNC(H11))*100),((TRUNC(H11)*60+(H11-TRUNC(H11))*100)-pause2*60-O11))," ")</f>
        <v xml:space="preserve"> </v>
      </c>
      <c r="T11" s="60" t="str">
        <f>IF(S11&gt;0,S11," ")</f>
        <v xml:space="preserve"> </v>
      </c>
      <c r="U11" s="60" t="str">
        <f>IF(S11&lt;0,S11," ")</f>
        <v xml:space="preserve"> </v>
      </c>
      <c r="W11">
        <f>IF(H11="",0,TRUNC(H11)*60)</f>
        <v>0</v>
      </c>
      <c r="X11">
        <f>IF(H11="",0,ROUND((H11-TRUNC(H11))*100,0)-O11)</f>
        <v>0</v>
      </c>
      <c r="Y11">
        <f>IF(D11="gp",(TRUNC(I11)*60+(I11-TRUNC(I11))*100),(IF(D11="g",(TRUNC(I11)*60+(I11-TRUNC(I11))*100),W11+X11)))</f>
        <v>0</v>
      </c>
      <c r="AD11" s="158">
        <f t="shared" ref="AD11:AD12" si="7">TRUNC(F11)</f>
        <v>0</v>
      </c>
      <c r="AE11" s="158">
        <f t="shared" ref="AE11:AE12" si="8">F11-TRUNC(F11)</f>
        <v>0</v>
      </c>
      <c r="AF11" s="64" t="str">
        <f t="shared" ref="AF11:AF12" si="9">IF(F11&lt;&gt;0,AD11+(AE11/0.6)," ")</f>
        <v xml:space="preserve"> </v>
      </c>
      <c r="AG11" s="169">
        <f t="shared" ref="AG11:AG12" si="10">TRUNC(G11)</f>
        <v>0</v>
      </c>
      <c r="AH11" s="169">
        <f t="shared" ref="AH11:AH12" si="11">G11-TRUNC(G11)</f>
        <v>0</v>
      </c>
      <c r="AI11" s="64" t="str">
        <f t="shared" ref="AI11:AI12" si="12">IF(G11&lt;&gt;0,AG11+(AH11/0.6)," ")</f>
        <v xml:space="preserve"> </v>
      </c>
      <c r="AJ11" s="169" t="str">
        <f t="shared" ref="AJ11:AJ12" si="13">IF(H11&lt;&gt;"",TRUNC(H11),"")</f>
        <v/>
      </c>
      <c r="AK11" s="169" t="str">
        <f t="shared" ref="AK11:AK14" si="14">IF(H11&lt;&gt;"",H11-AJ11,"")</f>
        <v/>
      </c>
      <c r="AL11" s="64" t="str">
        <f t="shared" ref="AL11:AL12" si="15">IF(H11&lt;&gt;"",AJ11+(AK11/0.6)," ")</f>
        <v xml:space="preserve"> </v>
      </c>
    </row>
    <row r="12" spans="1:38" ht="15.75" x14ac:dyDescent="0.25">
      <c r="A12" s="2">
        <f>(A11+1)</f>
        <v>46055</v>
      </c>
      <c r="B12" s="2">
        <f t="shared" ref="B12:B41" si="16">CODE(TEXT(A12,"TTTT"))</f>
        <v>84</v>
      </c>
      <c r="C12" s="54" t="str">
        <f t="shared" si="0"/>
        <v>02.2. poniedziałek</v>
      </c>
      <c r="D12" s="159"/>
      <c r="E12" s="117" t="str">
        <f>IF(D12="w","wolne",IF(D12="u","urlop",IF(D12="c","choroba",IF(D12="g","godziny",IF(D12="a","nieobecny",IF(D12="op","opieka"," "))))))</f>
        <v xml:space="preserve"> </v>
      </c>
      <c r="F12" s="115">
        <v>8</v>
      </c>
      <c r="G12" s="115">
        <v>16</v>
      </c>
      <c r="H12" s="55">
        <f t="shared" si="1"/>
        <v>8</v>
      </c>
      <c r="I12" s="55">
        <f t="shared" si="2"/>
        <v>0</v>
      </c>
      <c r="J12" s="56">
        <f t="shared" si="3"/>
        <v>0</v>
      </c>
      <c r="K12" s="57">
        <f t="shared" si="4"/>
        <v>1</v>
      </c>
      <c r="L12" s="57">
        <f t="shared" ref="L12:L39" si="17">IF(OR((D12="c"),(D12="u"),(D12="uz"),(D12="um"),(D12="op"),(D12="oc"),(D12="s")),1,0)</f>
        <v>0</v>
      </c>
      <c r="M12" s="58" t="str">
        <f t="shared" si="5"/>
        <v>przerwa1</v>
      </c>
      <c r="N12" s="57">
        <f t="shared" ref="N12:N39" si="18">IF(OR((B12=83),(D12="w"),(D12="g"),(D12="c"),(D12="u"),(D12="uz"),(D12="op"),(D12="oc")),0,1)</f>
        <v>1</v>
      </c>
      <c r="O12" s="138"/>
      <c r="P12" s="149"/>
      <c r="Q12" s="138"/>
      <c r="R12" s="8"/>
      <c r="S12" s="60">
        <f t="shared" si="6"/>
        <v>0</v>
      </c>
      <c r="T12" s="60" t="str">
        <f t="shared" ref="T12:T41" si="19">IF(S12&gt;0,S12," ")</f>
        <v xml:space="preserve"> </v>
      </c>
      <c r="U12" s="60" t="str">
        <f t="shared" ref="U12:U41" si="20">IF(S12&lt;0,S12," ")</f>
        <v xml:space="preserve"> </v>
      </c>
      <c r="W12">
        <f t="shared" ref="W12:W41" si="21">IF(H12="",0,TRUNC(H12)*60)</f>
        <v>480</v>
      </c>
      <c r="X12">
        <f t="shared" ref="X12:X41" si="22">IF(H12="",0,ROUND((H12-TRUNC(H12))*100,0)-O12)</f>
        <v>0</v>
      </c>
      <c r="Y12">
        <f t="shared" ref="Y12:Y41" si="23">IF(D12="gp",(TRUNC(I12)*60+(I12-TRUNC(I12))*100),(IF(D12="g",(TRUNC(I12)*60+(I12-TRUNC(I12))*100),W12+X12)))</f>
        <v>480</v>
      </c>
      <c r="AD12" s="158">
        <f t="shared" si="7"/>
        <v>8</v>
      </c>
      <c r="AE12" s="158">
        <f t="shared" si="8"/>
        <v>0</v>
      </c>
      <c r="AF12" s="64">
        <f t="shared" si="9"/>
        <v>8</v>
      </c>
      <c r="AG12" s="169">
        <f t="shared" si="10"/>
        <v>16</v>
      </c>
      <c r="AH12" s="169">
        <f t="shared" si="11"/>
        <v>0</v>
      </c>
      <c r="AI12" s="64">
        <f t="shared" si="12"/>
        <v>16</v>
      </c>
      <c r="AJ12" s="169">
        <f t="shared" si="13"/>
        <v>8</v>
      </c>
      <c r="AK12" s="169">
        <f t="shared" si="14"/>
        <v>0</v>
      </c>
      <c r="AL12" s="64">
        <f t="shared" si="15"/>
        <v>8</v>
      </c>
    </row>
    <row r="13" spans="1:38" ht="15.75" x14ac:dyDescent="0.25">
      <c r="A13" s="2">
        <f t="shared" ref="A13:A41" si="24">(A12+1)</f>
        <v>46056</v>
      </c>
      <c r="B13" s="2">
        <f t="shared" si="16"/>
        <v>84</v>
      </c>
      <c r="C13" s="54" t="str">
        <f t="shared" si="0"/>
        <v>03.2. wtorek</v>
      </c>
      <c r="D13" s="159"/>
      <c r="E13" s="117" t="str">
        <f t="shared" ref="E13:E38" si="25">IF(D13="w","wolne",IF(D13="u","urlop",IF(D13="c","choroba",IF(D13="g","godziny",IF(D13="a","nieobecny",IF(D13="op","opieka"," "))))))</f>
        <v xml:space="preserve"> </v>
      </c>
      <c r="F13" s="115">
        <v>8</v>
      </c>
      <c r="G13" s="115">
        <v>16</v>
      </c>
      <c r="H13" s="55">
        <f t="shared" si="1"/>
        <v>8</v>
      </c>
      <c r="I13" s="55">
        <f t="shared" si="2"/>
        <v>0</v>
      </c>
      <c r="J13" s="56">
        <f t="shared" si="3"/>
        <v>0</v>
      </c>
      <c r="K13" s="57">
        <f t="shared" si="4"/>
        <v>1</v>
      </c>
      <c r="L13" s="57">
        <f t="shared" si="17"/>
        <v>0</v>
      </c>
      <c r="M13" s="58" t="str">
        <f t="shared" si="5"/>
        <v>przerwa1</v>
      </c>
      <c r="N13" s="57">
        <f t="shared" si="18"/>
        <v>1</v>
      </c>
      <c r="O13" s="138"/>
      <c r="P13" s="149"/>
      <c r="Q13" s="138"/>
      <c r="R13" s="8"/>
      <c r="S13" s="60">
        <f t="shared" si="6"/>
        <v>0</v>
      </c>
      <c r="T13" s="60" t="str">
        <f t="shared" si="19"/>
        <v xml:space="preserve"> </v>
      </c>
      <c r="U13" s="60" t="str">
        <f t="shared" si="20"/>
        <v xml:space="preserve"> </v>
      </c>
      <c r="W13">
        <f t="shared" si="21"/>
        <v>480</v>
      </c>
      <c r="X13">
        <f t="shared" si="22"/>
        <v>0</v>
      </c>
      <c r="Y13">
        <f t="shared" si="23"/>
        <v>480</v>
      </c>
      <c r="AD13" s="158">
        <f>TRUNC(F13)</f>
        <v>8</v>
      </c>
      <c r="AE13" s="158">
        <f>F13-TRUNC(F13)</f>
        <v>0</v>
      </c>
      <c r="AF13" s="64">
        <f>IF(F13&lt;&gt;0,AD13+(AE13/0.6)," ")</f>
        <v>8</v>
      </c>
      <c r="AG13" s="169">
        <f>TRUNC(G13)</f>
        <v>16</v>
      </c>
      <c r="AH13" s="169">
        <f>G13-TRUNC(G13)</f>
        <v>0</v>
      </c>
      <c r="AI13" s="64">
        <f>IF(G13&lt;&gt;0,AG13+(AH13/0.6)," ")</f>
        <v>16</v>
      </c>
      <c r="AJ13" s="169">
        <f>IF(H13&lt;&gt;"",TRUNC(H13),"")</f>
        <v>8</v>
      </c>
      <c r="AK13" s="169">
        <f t="shared" si="14"/>
        <v>0</v>
      </c>
      <c r="AL13" s="64">
        <f>IF(H13&lt;&gt;"",AJ13+(AK13/0.6)," ")</f>
        <v>8</v>
      </c>
    </row>
    <row r="14" spans="1:38" ht="15.75" x14ac:dyDescent="0.25">
      <c r="A14" s="2">
        <f t="shared" si="24"/>
        <v>46057</v>
      </c>
      <c r="B14" s="2">
        <f t="shared" si="16"/>
        <v>84</v>
      </c>
      <c r="C14" s="54" t="str">
        <f t="shared" si="0"/>
        <v>04.2. środa</v>
      </c>
      <c r="D14" s="159"/>
      <c r="E14" s="117" t="str">
        <f>IF(D14="w","wolne",IF(D14="u","urlop",IF(D14="c","choroba",IF(D14="g","godziny",IF(D14="a","nieobecny",IF(D14="op","opieka"," "))))))</f>
        <v xml:space="preserve"> </v>
      </c>
      <c r="F14" s="115">
        <v>8</v>
      </c>
      <c r="G14" s="115">
        <v>16</v>
      </c>
      <c r="H14" s="55">
        <f t="shared" si="1"/>
        <v>8</v>
      </c>
      <c r="I14" s="55">
        <f t="shared" si="2"/>
        <v>0</v>
      </c>
      <c r="J14" s="56">
        <f t="shared" si="3"/>
        <v>0</v>
      </c>
      <c r="K14" s="57">
        <f t="shared" si="4"/>
        <v>1</v>
      </c>
      <c r="L14" s="57">
        <f>IF(OR((D14="c"),(D14="u"),(D14="uz"),(D14="um"),(D14="op"),(D14="oc"),(D14="s")),1,0)</f>
        <v>0</v>
      </c>
      <c r="M14" s="58" t="str">
        <f t="shared" si="5"/>
        <v>przerwa1</v>
      </c>
      <c r="N14" s="57">
        <f>IF(OR((B14=83),(D14="w"),(D14="g"),(D14="c"),(D14="u"),(D14="uz"),(D14="op"),(D14="oc")),0,1)</f>
        <v>1</v>
      </c>
      <c r="O14" s="138"/>
      <c r="P14" s="149"/>
      <c r="Q14" s="138"/>
      <c r="R14" s="8"/>
      <c r="S14" s="60">
        <f t="shared" si="6"/>
        <v>0</v>
      </c>
      <c r="T14" s="60" t="str">
        <f t="shared" si="19"/>
        <v xml:space="preserve"> </v>
      </c>
      <c r="U14" s="60" t="str">
        <f t="shared" si="20"/>
        <v xml:space="preserve"> </v>
      </c>
      <c r="W14">
        <f t="shared" si="21"/>
        <v>480</v>
      </c>
      <c r="X14">
        <f t="shared" si="22"/>
        <v>0</v>
      </c>
      <c r="Y14">
        <f t="shared" si="23"/>
        <v>480</v>
      </c>
      <c r="AD14" s="158">
        <f t="shared" ref="AD14:AD41" si="26">TRUNC(F14)</f>
        <v>8</v>
      </c>
      <c r="AE14" s="158">
        <f t="shared" ref="AE14:AE41" si="27">F14-TRUNC(F14)</f>
        <v>0</v>
      </c>
      <c r="AF14" s="64">
        <f t="shared" ref="AF14:AF41" si="28">IF(F14&lt;&gt;0,AD14+(AE14/0.6)," ")</f>
        <v>8</v>
      </c>
      <c r="AG14" s="169">
        <f t="shared" ref="AG14:AG41" si="29">TRUNC(G14)</f>
        <v>16</v>
      </c>
      <c r="AH14" s="169">
        <f t="shared" ref="AH14:AH41" si="30">G14-TRUNC(G14)</f>
        <v>0</v>
      </c>
      <c r="AI14" s="64">
        <f t="shared" ref="AI14:AI41" si="31">IF(G14&lt;&gt;0,AG14+(AH14/0.6)," ")</f>
        <v>16</v>
      </c>
      <c r="AJ14" s="169">
        <f t="shared" ref="AJ14:AJ41" si="32">IF(H14&lt;&gt;"",TRUNC(H14),"")</f>
        <v>8</v>
      </c>
      <c r="AK14" s="169">
        <f t="shared" si="14"/>
        <v>0</v>
      </c>
      <c r="AL14" s="64">
        <f t="shared" ref="AL14:AL41" si="33">IF(H14&lt;&gt;"",AJ14+(AK14/0.6)," ")</f>
        <v>8</v>
      </c>
    </row>
    <row r="15" spans="1:38" ht="15.75" x14ac:dyDescent="0.25">
      <c r="A15" s="2">
        <f t="shared" si="24"/>
        <v>46058</v>
      </c>
      <c r="B15" s="2">
        <f t="shared" si="16"/>
        <v>84</v>
      </c>
      <c r="C15" s="54" t="str">
        <f t="shared" si="0"/>
        <v>05.2. czwartek</v>
      </c>
      <c r="D15" s="159"/>
      <c r="E15" s="117" t="str">
        <f>IF(D15="w","wolne",IF(D15="u","urlop",IF(D15="c","choroba",IF(D15="g","godziny",IF(D15="a","nieobecny",IF(D15="op","opieka"," "))))))</f>
        <v xml:space="preserve"> </v>
      </c>
      <c r="F15" s="115">
        <v>8</v>
      </c>
      <c r="G15" s="115">
        <v>16</v>
      </c>
      <c r="H15" s="55">
        <f t="shared" si="1"/>
        <v>8</v>
      </c>
      <c r="I15" s="55">
        <f t="shared" si="2"/>
        <v>0</v>
      </c>
      <c r="J15" s="56">
        <f t="shared" si="3"/>
        <v>0</v>
      </c>
      <c r="K15" s="57">
        <f t="shared" si="4"/>
        <v>1</v>
      </c>
      <c r="L15" s="57">
        <f>IF(OR((D15="c"),(D15="u"),(D15="uz"),(D15="um"),(D15="op"),(D15="oc"),(D15="s")),1,0)</f>
        <v>0</v>
      </c>
      <c r="M15" s="58" t="str">
        <f t="shared" si="5"/>
        <v>przerwa1</v>
      </c>
      <c r="N15" s="57">
        <f>IF(OR((B15=83),(D15="w"),(D15="g"),(D15="c"),(D15="u"),(D15="uz"),(D15="op"),(D15="oc")),0,1)</f>
        <v>1</v>
      </c>
      <c r="O15" s="138"/>
      <c r="P15" s="149"/>
      <c r="Q15" s="138"/>
      <c r="R15" s="8"/>
      <c r="S15" s="60">
        <f t="shared" si="6"/>
        <v>0</v>
      </c>
      <c r="T15" s="60" t="str">
        <f t="shared" si="19"/>
        <v xml:space="preserve"> </v>
      </c>
      <c r="U15" s="60" t="str">
        <f t="shared" si="20"/>
        <v xml:space="preserve"> </v>
      </c>
      <c r="W15">
        <f t="shared" si="21"/>
        <v>480</v>
      </c>
      <c r="X15">
        <f t="shared" si="22"/>
        <v>0</v>
      </c>
      <c r="Y15">
        <f t="shared" si="23"/>
        <v>480</v>
      </c>
      <c r="AD15" s="158">
        <f t="shared" si="26"/>
        <v>8</v>
      </c>
      <c r="AE15" s="158">
        <f t="shared" si="27"/>
        <v>0</v>
      </c>
      <c r="AF15" s="64">
        <f t="shared" si="28"/>
        <v>8</v>
      </c>
      <c r="AG15" s="169">
        <f t="shared" si="29"/>
        <v>16</v>
      </c>
      <c r="AH15" s="169">
        <f t="shared" si="30"/>
        <v>0</v>
      </c>
      <c r="AI15" s="64">
        <f t="shared" si="31"/>
        <v>16</v>
      </c>
      <c r="AJ15" s="169">
        <f t="shared" si="32"/>
        <v>8</v>
      </c>
      <c r="AK15" s="169">
        <f t="shared" ref="AK15:AK41" si="34">IF(H15&lt;&gt;"",H15-AJ15,"")</f>
        <v>0</v>
      </c>
      <c r="AL15" s="64">
        <f t="shared" si="33"/>
        <v>8</v>
      </c>
    </row>
    <row r="16" spans="1:38" ht="15.75" x14ac:dyDescent="0.25">
      <c r="A16" s="2">
        <f t="shared" si="24"/>
        <v>46059</v>
      </c>
      <c r="B16" s="2">
        <f t="shared" si="16"/>
        <v>84</v>
      </c>
      <c r="C16" s="54" t="str">
        <f t="shared" si="0"/>
        <v>06.2. piątek</v>
      </c>
      <c r="D16" s="159"/>
      <c r="E16" s="117" t="str">
        <f>IF(D16="w","wolne",IF(D16="u","urlop",IF(D16="c","choroba",IF(D16="g","godziny",IF(D16="a","nieobecny",IF(D16="op","opieka"," "))))))</f>
        <v xml:space="preserve"> </v>
      </c>
      <c r="F16" s="115">
        <v>8</v>
      </c>
      <c r="G16" s="115">
        <v>16</v>
      </c>
      <c r="H16" s="55">
        <f t="shared" si="1"/>
        <v>8</v>
      </c>
      <c r="I16" s="55">
        <f t="shared" si="2"/>
        <v>0</v>
      </c>
      <c r="J16" s="56">
        <f t="shared" si="3"/>
        <v>0</v>
      </c>
      <c r="K16" s="57">
        <f t="shared" si="4"/>
        <v>1</v>
      </c>
      <c r="L16" s="57">
        <f>IF(OR((D16="c"),(D16="u"),(D16="uz"),(D16="um"),(D16="op"),(D16="oc"),(D16="s")),1,0)</f>
        <v>0</v>
      </c>
      <c r="M16" s="58" t="str">
        <f t="shared" si="5"/>
        <v>przerwa1</v>
      </c>
      <c r="N16" s="57">
        <f>IF(OR((B16=83),(D16="w"),(D16="g"),(D16="c"),(D16="u"),(D16="uz"),(D16="op"),(D16="oc")),0,1)</f>
        <v>1</v>
      </c>
      <c r="O16" s="138"/>
      <c r="P16" s="149"/>
      <c r="Q16" s="138"/>
      <c r="R16" s="8"/>
      <c r="S16" s="60">
        <f t="shared" si="6"/>
        <v>0</v>
      </c>
      <c r="T16" s="60" t="str">
        <f t="shared" si="19"/>
        <v xml:space="preserve"> </v>
      </c>
      <c r="U16" s="60" t="str">
        <f t="shared" si="20"/>
        <v xml:space="preserve"> </v>
      </c>
      <c r="W16">
        <f t="shared" si="21"/>
        <v>480</v>
      </c>
      <c r="X16">
        <f t="shared" si="22"/>
        <v>0</v>
      </c>
      <c r="Y16">
        <f t="shared" si="23"/>
        <v>480</v>
      </c>
      <c r="AD16" s="158">
        <f t="shared" si="26"/>
        <v>8</v>
      </c>
      <c r="AE16" s="158">
        <f t="shared" si="27"/>
        <v>0</v>
      </c>
      <c r="AF16" s="64">
        <f t="shared" si="28"/>
        <v>8</v>
      </c>
      <c r="AG16" s="169">
        <f t="shared" si="29"/>
        <v>16</v>
      </c>
      <c r="AH16" s="169">
        <f t="shared" si="30"/>
        <v>0</v>
      </c>
      <c r="AI16" s="64">
        <f t="shared" si="31"/>
        <v>16</v>
      </c>
      <c r="AJ16" s="169">
        <f t="shared" si="32"/>
        <v>8</v>
      </c>
      <c r="AK16" s="169">
        <f t="shared" si="34"/>
        <v>0</v>
      </c>
      <c r="AL16" s="64">
        <f t="shared" si="33"/>
        <v>8</v>
      </c>
    </row>
    <row r="17" spans="1:38" ht="15.75" x14ac:dyDescent="0.25">
      <c r="A17" s="2">
        <f t="shared" si="24"/>
        <v>46060</v>
      </c>
      <c r="B17" s="2">
        <f t="shared" si="16"/>
        <v>84</v>
      </c>
      <c r="C17" s="54" t="str">
        <f t="shared" si="0"/>
        <v>07.2. sobota</v>
      </c>
      <c r="D17" s="159" t="s">
        <v>47</v>
      </c>
      <c r="E17" s="117" t="str">
        <f>IF(D17="w","wolne",IF(D17="u","urlop",IF(D17="c","choroba",IF(D17="g","godziny",IF(D17="a","nieobecny",IF(D17="op","opieka"," "))))))</f>
        <v>wolne</v>
      </c>
      <c r="F17" s="115"/>
      <c r="G17" s="115"/>
      <c r="H17" s="55" t="str">
        <f t="shared" si="1"/>
        <v/>
      </c>
      <c r="I17" s="55" t="str">
        <f t="shared" si="2"/>
        <v/>
      </c>
      <c r="J17" s="56" t="str">
        <f t="shared" si="3"/>
        <v/>
      </c>
      <c r="K17" s="57">
        <f t="shared" si="4"/>
        <v>0</v>
      </c>
      <c r="L17" s="57">
        <f>IF(OR((D17="c"),(D17="u"),(D17="uz"),(D17="um"),(D17="op"),(D17="oc"),(D17="s")),1,0)</f>
        <v>0</v>
      </c>
      <c r="M17" s="58" t="str">
        <f t="shared" si="5"/>
        <v>przerwa1</v>
      </c>
      <c r="N17" s="57">
        <f>IF(OR((B17=83),(D17="w"),(D17="g"),(D17="c"),(D17="u"),(D17="uz"),(D17="op"),(D17="oc")),0,1)</f>
        <v>0</v>
      </c>
      <c r="O17" s="138"/>
      <c r="P17" s="149"/>
      <c r="Q17" s="138"/>
      <c r="R17" s="8"/>
      <c r="S17" s="60" t="str">
        <f t="shared" si="6"/>
        <v xml:space="preserve"> </v>
      </c>
      <c r="T17" s="60" t="str">
        <f t="shared" si="19"/>
        <v xml:space="preserve"> </v>
      </c>
      <c r="U17" s="60" t="str">
        <f t="shared" si="20"/>
        <v xml:space="preserve"> </v>
      </c>
      <c r="W17">
        <f t="shared" si="21"/>
        <v>0</v>
      </c>
      <c r="X17">
        <f t="shared" si="22"/>
        <v>0</v>
      </c>
      <c r="Y17">
        <f t="shared" si="23"/>
        <v>0</v>
      </c>
      <c r="AD17" s="158">
        <f t="shared" si="26"/>
        <v>0</v>
      </c>
      <c r="AE17" s="158">
        <f t="shared" si="27"/>
        <v>0</v>
      </c>
      <c r="AF17" s="64" t="str">
        <f t="shared" si="28"/>
        <v xml:space="preserve"> </v>
      </c>
      <c r="AG17" s="169">
        <f t="shared" si="29"/>
        <v>0</v>
      </c>
      <c r="AH17" s="169">
        <f t="shared" si="30"/>
        <v>0</v>
      </c>
      <c r="AI17" s="64" t="str">
        <f t="shared" si="31"/>
        <v xml:space="preserve"> </v>
      </c>
      <c r="AJ17" s="169" t="str">
        <f t="shared" si="32"/>
        <v/>
      </c>
      <c r="AK17" s="169" t="str">
        <f t="shared" si="34"/>
        <v/>
      </c>
      <c r="AL17" s="64" t="str">
        <f t="shared" si="33"/>
        <v xml:space="preserve"> </v>
      </c>
    </row>
    <row r="18" spans="1:38" ht="15.75" x14ac:dyDescent="0.25">
      <c r="A18" s="2">
        <f t="shared" si="24"/>
        <v>46061</v>
      </c>
      <c r="B18" s="2">
        <f t="shared" si="16"/>
        <v>84</v>
      </c>
      <c r="C18" s="54" t="str">
        <f t="shared" si="0"/>
        <v>08.2. niedziela</v>
      </c>
      <c r="D18" s="159" t="s">
        <v>47</v>
      </c>
      <c r="E18" s="117" t="str">
        <f>IF(D18="w","wolne",IF(D18="u","urlop",IF(D18="c","choroba",IF(D18="g","godziny",IF(D18="a","nieobecny",IF(D18="op","opieka"," "))))))</f>
        <v>wolne</v>
      </c>
      <c r="F18" s="115"/>
      <c r="G18" s="115"/>
      <c r="H18" s="55" t="str">
        <f>IF(D18="d",(((((TRUNC(G18)-1)-TRUNC(F18))*60)+((G18-TRUNC(G18))*100)+(60-(F18-TRUNC(F18))*100))-(IF(M18&lt;przerwa1,pause,przerwa1)))/60,IF((OR((B18=83),(D18="u"),(D18="uz"),(D18="a"),(D18="c"),(D18="s"),(AND(D18="w",F18="")),(D18="oc"),(D18="um"),(D18="op"),(D18="oc"))),"",IF(OR(D18="g",AND(D18="gp",F18="")),0,TRUNC((((TRUNC(G18)*60+(G18-(TRUNC(G18)))*100)-(TRUNC(F18)*60+(F18-TRUNC(F18))*100))-(IF(M18&lt;przerwa1,pause,przerwa1)))/60)+(((((TRUNC(G18)*60+(G18-(TRUNC(G18)))*100)-(TRUNC(F18)*60+(F18-TRUNC(F18))*100))-(IF(M18&lt;przerwa1,pause,przerwa1)))/60)-TRUNC(((((TRUNC(G18)*60+(G18-(TRUNC(G18)))*100)-(TRUNC(F18)*60+(F18-TRUNC(F18))*100))-(IF(M18&lt;przerwa1,pause,przerwa1)))/60)))*60/100)))</f>
        <v/>
      </c>
      <c r="I18" s="55" t="str">
        <f>IF(AND(D18="gp",F18=""),-(TRUNC(godz/1.5)+((godz/1.5)-TRUNC(godz/1.5))*60/100),IF(AND(D18="gp",F18&lt;&gt;"",G18&lt;&gt;""),ROUND(TRUNC((TRUNC(ROUND((TRUNC(H18-godz)+(((TRUNC(H18)*60)+(H18-TRUNC(H18))*100)-(godz*60)-(TRUNC(H18-godz)*60))/100),2))+((ROUND((TRUNC(H18-godz)+(((TRUNC(H18)*60)+(H18-TRUNC(H18))*100)-(godz*60)-(TRUNC(H18-godz)*60))/100),2)-TRUNC(ROUND((TRUNC(H18-godz)+(((TRUNC(H18)*60)+(H18-TRUNC(H18))*100)-(godz*60)-(TRUNC(H18-godz)*60))/100),2)))*100/60))/1.5)+(((TRUNC(ROUND((TRUNC(H18-godz)+(((TRUNC(H18)*60)+(H18-TRUNC(H18))*100)-(godz*60)-(TRUNC(H18-godz)*60))/100),2))+((ROUND((TRUNC(H18-godz)+(((TRUNC(H18)*60)+(H18-TRUNC(H18))*100)-(godz*60)-(TRUNC(H18-godz)*60))/100),2)-TRUNC(ROUND((TRUNC(H18-godz)+(((TRUNC(H18)*60)+(H18-TRUNC(H18))*100)-(godz*60)-(TRUNC(H18-godz)*60))/100),2)))*100/60))/1.5)-TRUNC((TRUNC(ROUND((TRUNC(H18-godz)+(((TRUNC(H18)*60)+(H18-TRUNC(H18))*100)-(godz*60)-(TRUNC(H18-godz)*60))/100),2))+((ROUND((TRUNC(H18-godz)+(((TRUNC(H18)*60)+(H18-TRUNC(H18))*100)-(godz*60)-(TRUNC(H18-godz)*60))/100),2)-TRUNC(ROUND((TRUNC(H18-godz)+(((TRUNC(H18)*60)+(H18-TRUNC(H18))*100)-(godz*60)-(TRUNC(H18-godz)*60))/100),2)))*100/60))/1.5))*60/100,2),IF(OR((B18=83),(D18="w"),(D18="s"),(D18="c"),(D18="a"),(D18="oc"),(D18="um"),(D18="op"),(D18="uz"),(D18="u")),"",ROUND((TRUNC(H18-godz)+(((TRUNC(H18)*60)+(H18-TRUNC(H18))*100)-(godz*60)-(TRUNC(H18-godz)*60))/100),2))))</f>
        <v/>
      </c>
      <c r="J18" s="56" t="str">
        <f>IF(D18="gp",(TRUNC(I18)*60+(I18-TRUNC(I18))*100),IF(OR((I18=""),(B18=83)),"",IF((I18=0),0,TRUNC(H18-godz)*60+(((TRUNC(H18)*60)+(H18-TRUNC(H18))*100)-(godz*60)-(TRUNC(H18-godz)*60)))))</f>
        <v/>
      </c>
      <c r="K18" s="57">
        <f>IF(OR((B18=83),(D18="w")),0,1)</f>
        <v>0</v>
      </c>
      <c r="L18" s="57">
        <f>IF(OR((D18="c"),(D18="u"),(D18="uz"),(D18="um"),(D18="op"),(D18="oc"),(D18="s")),1,0)</f>
        <v>0</v>
      </c>
      <c r="M18" s="58" t="str">
        <f t="shared" si="5"/>
        <v>przerwa1</v>
      </c>
      <c r="N18" s="57">
        <f>IF(OR((B18=83),(D18="w"),(D18="g"),(D18="c"),(D18="u"),(D18="uz"),(D18="op"),(D18="oc")),0,1)</f>
        <v>0</v>
      </c>
      <c r="O18" s="138"/>
      <c r="P18" s="149"/>
      <c r="Q18" s="138"/>
      <c r="R18" s="8"/>
      <c r="S18" s="60" t="str">
        <f>IF(H18&lt;&gt;"",IF(D18="w",((TRUNC(H18)*60)+(H18-TRUNC(H18))*100),((TRUNC(H18)*60+(H18-TRUNC(H18))*100)-pause2*60-O18))," ")</f>
        <v xml:space="preserve"> </v>
      </c>
      <c r="T18" s="60" t="str">
        <f t="shared" si="19"/>
        <v xml:space="preserve"> </v>
      </c>
      <c r="U18" s="60" t="str">
        <f t="shared" si="20"/>
        <v xml:space="preserve"> </v>
      </c>
      <c r="W18">
        <f t="shared" si="21"/>
        <v>0</v>
      </c>
      <c r="X18">
        <f t="shared" si="22"/>
        <v>0</v>
      </c>
      <c r="Y18">
        <f>IF(D18="gp",(TRUNC(I18)*60+(I18-TRUNC(I18))*100),(IF(D18="g",(TRUNC(I18)*60+(I18-TRUNC(I18))*100),W18+X18)))</f>
        <v>0</v>
      </c>
      <c r="AD18" s="158">
        <f t="shared" si="26"/>
        <v>0</v>
      </c>
      <c r="AE18" s="158">
        <f t="shared" si="27"/>
        <v>0</v>
      </c>
      <c r="AF18" s="64" t="str">
        <f t="shared" si="28"/>
        <v xml:space="preserve"> </v>
      </c>
      <c r="AG18" s="169">
        <f t="shared" si="29"/>
        <v>0</v>
      </c>
      <c r="AH18" s="169">
        <f t="shared" si="30"/>
        <v>0</v>
      </c>
      <c r="AI18" s="64" t="str">
        <f t="shared" si="31"/>
        <v xml:space="preserve"> </v>
      </c>
      <c r="AJ18" s="169" t="str">
        <f t="shared" si="32"/>
        <v/>
      </c>
      <c r="AK18" s="169" t="str">
        <f t="shared" si="34"/>
        <v/>
      </c>
      <c r="AL18" s="64" t="str">
        <f t="shared" si="33"/>
        <v xml:space="preserve"> </v>
      </c>
    </row>
    <row r="19" spans="1:38" ht="15.75" x14ac:dyDescent="0.25">
      <c r="A19" s="2">
        <f t="shared" si="24"/>
        <v>46062</v>
      </c>
      <c r="B19" s="2">
        <f t="shared" si="16"/>
        <v>84</v>
      </c>
      <c r="C19" s="54" t="str">
        <f t="shared" si="0"/>
        <v>09.2. poniedziałek</v>
      </c>
      <c r="D19" s="159"/>
      <c r="E19" s="117" t="str">
        <f t="shared" si="25"/>
        <v xml:space="preserve"> </v>
      </c>
      <c r="F19" s="115">
        <v>8</v>
      </c>
      <c r="G19" s="115">
        <v>16</v>
      </c>
      <c r="H19" s="55">
        <f t="shared" si="1"/>
        <v>8</v>
      </c>
      <c r="I19" s="55">
        <f t="shared" si="2"/>
        <v>0</v>
      </c>
      <c r="J19" s="56">
        <f t="shared" si="3"/>
        <v>0</v>
      </c>
      <c r="K19" s="57">
        <f t="shared" ref="K19:K42" si="35">IF(OR((B19=83),(D19="w")),0,1)</f>
        <v>1</v>
      </c>
      <c r="L19" s="57">
        <f t="shared" si="17"/>
        <v>0</v>
      </c>
      <c r="M19" s="58" t="str">
        <f t="shared" si="5"/>
        <v>przerwa1</v>
      </c>
      <c r="N19" s="57">
        <f t="shared" si="18"/>
        <v>1</v>
      </c>
      <c r="O19" s="138"/>
      <c r="P19" s="149"/>
      <c r="Q19" s="138"/>
      <c r="R19" s="8"/>
      <c r="S19" s="60">
        <f t="shared" si="6"/>
        <v>0</v>
      </c>
      <c r="T19" s="60" t="str">
        <f t="shared" si="19"/>
        <v xml:space="preserve"> </v>
      </c>
      <c r="U19" s="60" t="str">
        <f t="shared" si="20"/>
        <v xml:space="preserve"> </v>
      </c>
      <c r="W19">
        <f t="shared" si="21"/>
        <v>480</v>
      </c>
      <c r="X19">
        <f t="shared" si="22"/>
        <v>0</v>
      </c>
      <c r="Y19">
        <f t="shared" si="23"/>
        <v>480</v>
      </c>
      <c r="AD19" s="158">
        <f t="shared" si="26"/>
        <v>8</v>
      </c>
      <c r="AE19" s="158">
        <f t="shared" si="27"/>
        <v>0</v>
      </c>
      <c r="AF19" s="64">
        <f t="shared" si="28"/>
        <v>8</v>
      </c>
      <c r="AG19" s="169">
        <f t="shared" si="29"/>
        <v>16</v>
      </c>
      <c r="AH19" s="169">
        <f t="shared" si="30"/>
        <v>0</v>
      </c>
      <c r="AI19" s="64">
        <f t="shared" si="31"/>
        <v>16</v>
      </c>
      <c r="AJ19" s="169">
        <f t="shared" si="32"/>
        <v>8</v>
      </c>
      <c r="AK19" s="169">
        <f t="shared" si="34"/>
        <v>0</v>
      </c>
      <c r="AL19" s="64">
        <f t="shared" si="33"/>
        <v>8</v>
      </c>
    </row>
    <row r="20" spans="1:38" ht="15.75" x14ac:dyDescent="0.25">
      <c r="A20" s="2">
        <f t="shared" si="24"/>
        <v>46063</v>
      </c>
      <c r="B20" s="2">
        <f t="shared" si="16"/>
        <v>84</v>
      </c>
      <c r="C20" s="54" t="str">
        <f t="shared" si="0"/>
        <v>10.2. wtorek</v>
      </c>
      <c r="D20" s="159"/>
      <c r="E20" s="117" t="str">
        <f>IF(D20="w","wolne",IF(D20="u","urlop",IF(D20="c","choroba",IF(D20="g","godziny",IF(D20="a","nieobecny",IF(D20="op","opieka"," "))))))</f>
        <v xml:space="preserve"> </v>
      </c>
      <c r="F20" s="115">
        <v>8</v>
      </c>
      <c r="G20" s="115">
        <v>16</v>
      </c>
      <c r="H20" s="55">
        <f>IF(D20="d",(((((TRUNC(G20)-1)-TRUNC(F20))*60)+((G20-TRUNC(G20))*100)+(60-(F20-TRUNC(F20))*100))-(IF(M20&lt;przerwa1,pause,przerwa1)))/60,IF((OR((B20=83),(D20="u"),(D20="uz"),(D20="a"),(D20="c"),(D20="s"),(AND(D20="w",F20="")),(D20="oc"),(D20="um"),(D20="op"),(D20="oc"))),"",IF(OR(D20="g",AND(D20="gp",F20="")),0,TRUNC((((TRUNC(G20)*60+(G20-(TRUNC(G20)))*100)-(TRUNC(F20)*60+(F20-TRUNC(F20))*100))-(IF(M20&lt;przerwa1,pause,przerwa1)))/60)+(((((TRUNC(G20)*60+(G20-(TRUNC(G20)))*100)-(TRUNC(F20)*60+(F20-TRUNC(F20))*100))-(IF(M20&lt;przerwa1,pause,przerwa1)))/60)-TRUNC(((((TRUNC(G20)*60+(G20-(TRUNC(G20)))*100)-(TRUNC(F20)*60+(F20-TRUNC(F20))*100))-(IF(M20&lt;przerwa1,pause,przerwa1)))/60)))*60/100)))</f>
        <v>8</v>
      </c>
      <c r="I20" s="55">
        <f>IF(AND(D20="gp",F20=""),-(TRUNC(godz/1.5)+((godz/1.5)-TRUNC(godz/1.5))*60/100),IF(AND(D20="gp",F20&lt;&gt;"",G20&lt;&gt;""),ROUND(TRUNC((TRUNC(ROUND((TRUNC(H20-godz)+(((TRUNC(H20)*60)+(H20-TRUNC(H20))*100)-(godz*60)-(TRUNC(H20-godz)*60))/100),2))+((ROUND((TRUNC(H20-godz)+(((TRUNC(H20)*60)+(H20-TRUNC(H20))*100)-(godz*60)-(TRUNC(H20-godz)*60))/100),2)-TRUNC(ROUND((TRUNC(H20-godz)+(((TRUNC(H20)*60)+(H20-TRUNC(H20))*100)-(godz*60)-(TRUNC(H20-godz)*60))/100),2)))*100/60))/1.5)+(((TRUNC(ROUND((TRUNC(H20-godz)+(((TRUNC(H20)*60)+(H20-TRUNC(H20))*100)-(godz*60)-(TRUNC(H20-godz)*60))/100),2))+((ROUND((TRUNC(H20-godz)+(((TRUNC(H20)*60)+(H20-TRUNC(H20))*100)-(godz*60)-(TRUNC(H20-godz)*60))/100),2)-TRUNC(ROUND((TRUNC(H20-godz)+(((TRUNC(H20)*60)+(H20-TRUNC(H20))*100)-(godz*60)-(TRUNC(H20-godz)*60))/100),2)))*100/60))/1.5)-TRUNC((TRUNC(ROUND((TRUNC(H20-godz)+(((TRUNC(H20)*60)+(H20-TRUNC(H20))*100)-(godz*60)-(TRUNC(H20-godz)*60))/100),2))+((ROUND((TRUNC(H20-godz)+(((TRUNC(H20)*60)+(H20-TRUNC(H20))*100)-(godz*60)-(TRUNC(H20-godz)*60))/100),2)-TRUNC(ROUND((TRUNC(H20-godz)+(((TRUNC(H20)*60)+(H20-TRUNC(H20))*100)-(godz*60)-(TRUNC(H20-godz)*60))/100),2)))*100/60))/1.5))*60/100,2),IF(OR((B20=83),(D20="w"),(D20="s"),(D20="c"),(D20="a"),(D20="oc"),(D20="um"),(D20="op"),(D20="uz"),(D20="u")),"",ROUND((TRUNC(H20-godz)+(((TRUNC(H20)*60)+(H20-TRUNC(H20))*100)-(godz*60)-(TRUNC(H20-godz)*60))/100),2))))</f>
        <v>0</v>
      </c>
      <c r="J20" s="56">
        <f>IF(D20="gp",(TRUNC(I20)*60+(I20-TRUNC(I20))*100),IF(OR((I20=""),(B20=83)),"",IF((I20=0),0,TRUNC(H20-godz)*60+(((TRUNC(H20)*60)+(H20-TRUNC(H20))*100)-(godz*60)-(TRUNC(H20-godz)*60)))))</f>
        <v>0</v>
      </c>
      <c r="K20" s="57">
        <f>IF(OR((B20=83),(D20="w")),0,1)</f>
        <v>1</v>
      </c>
      <c r="L20" s="57">
        <f>IF(OR((D20="c"),(D20="u"),(D20="uz"),(D20="um"),(D20="op"),(D20="oc"),(D20="s")),1,0)</f>
        <v>0</v>
      </c>
      <c r="M20" s="58" t="str">
        <f t="shared" si="5"/>
        <v>przerwa1</v>
      </c>
      <c r="N20" s="57">
        <f>IF(OR((B20=83),(D20="w"),(D20="g"),(D20="c"),(D20="u"),(D20="uz"),(D20="op"),(D20="oc")),0,1)</f>
        <v>1</v>
      </c>
      <c r="O20" s="138"/>
      <c r="P20" s="149"/>
      <c r="Q20" s="138"/>
      <c r="R20" s="8"/>
      <c r="S20" s="60">
        <f>IF(H20&lt;&gt;"",IF(D20="w",((TRUNC(H20)*60)+(H20-TRUNC(H20))*100),((TRUNC(H20)*60+(H20-TRUNC(H20))*100)-pause2*60-O20))," ")</f>
        <v>0</v>
      </c>
      <c r="T20" s="60" t="str">
        <f t="shared" si="19"/>
        <v xml:space="preserve"> </v>
      </c>
      <c r="U20" s="60" t="str">
        <f t="shared" si="20"/>
        <v xml:space="preserve"> </v>
      </c>
      <c r="W20">
        <f t="shared" si="21"/>
        <v>480</v>
      </c>
      <c r="X20">
        <f t="shared" si="22"/>
        <v>0</v>
      </c>
      <c r="Y20">
        <f>IF(D20="gp",(TRUNC(I20)*60+(I20-TRUNC(I20))*100),(IF(D20="g",(TRUNC(I20)*60+(I20-TRUNC(I20))*100),W20+X20)))</f>
        <v>480</v>
      </c>
      <c r="AD20" s="158">
        <f t="shared" si="26"/>
        <v>8</v>
      </c>
      <c r="AE20" s="158">
        <f t="shared" si="27"/>
        <v>0</v>
      </c>
      <c r="AF20" s="64">
        <f t="shared" si="28"/>
        <v>8</v>
      </c>
      <c r="AG20" s="169">
        <f t="shared" si="29"/>
        <v>16</v>
      </c>
      <c r="AH20" s="169">
        <f t="shared" si="30"/>
        <v>0</v>
      </c>
      <c r="AI20" s="64">
        <f t="shared" si="31"/>
        <v>16</v>
      </c>
      <c r="AJ20" s="169">
        <f t="shared" si="32"/>
        <v>8</v>
      </c>
      <c r="AK20" s="169">
        <f>IF(H20&lt;&gt;"",H20-AJ20,"")</f>
        <v>0</v>
      </c>
      <c r="AL20" s="64">
        <f t="shared" si="33"/>
        <v>8</v>
      </c>
    </row>
    <row r="21" spans="1:38" ht="15.75" x14ac:dyDescent="0.25">
      <c r="A21" s="2">
        <f t="shared" si="24"/>
        <v>46064</v>
      </c>
      <c r="B21" s="2">
        <f t="shared" si="16"/>
        <v>84</v>
      </c>
      <c r="C21" s="54" t="str">
        <f t="shared" si="0"/>
        <v>11.2. środa</v>
      </c>
      <c r="D21" s="159"/>
      <c r="E21" s="117" t="str">
        <f t="shared" si="25"/>
        <v xml:space="preserve"> </v>
      </c>
      <c r="F21" s="115">
        <v>8</v>
      </c>
      <c r="G21" s="115">
        <v>16</v>
      </c>
      <c r="H21" s="55">
        <f t="shared" si="1"/>
        <v>8</v>
      </c>
      <c r="I21" s="55">
        <f t="shared" si="2"/>
        <v>0</v>
      </c>
      <c r="J21" s="56">
        <f t="shared" si="3"/>
        <v>0</v>
      </c>
      <c r="K21" s="57">
        <f t="shared" si="35"/>
        <v>1</v>
      </c>
      <c r="L21" s="57">
        <f t="shared" si="17"/>
        <v>0</v>
      </c>
      <c r="M21" s="58" t="str">
        <f t="shared" si="5"/>
        <v>przerwa1</v>
      </c>
      <c r="N21" s="57">
        <f t="shared" si="18"/>
        <v>1</v>
      </c>
      <c r="O21" s="138"/>
      <c r="P21" s="149"/>
      <c r="Q21" s="138"/>
      <c r="R21" s="8"/>
      <c r="S21" s="60">
        <f t="shared" si="6"/>
        <v>0</v>
      </c>
      <c r="T21" s="60" t="str">
        <f t="shared" si="19"/>
        <v xml:space="preserve"> </v>
      </c>
      <c r="U21" s="60" t="str">
        <f t="shared" si="20"/>
        <v xml:space="preserve"> </v>
      </c>
      <c r="W21">
        <f t="shared" si="21"/>
        <v>480</v>
      </c>
      <c r="X21">
        <f t="shared" si="22"/>
        <v>0</v>
      </c>
      <c r="Y21">
        <f t="shared" si="23"/>
        <v>480</v>
      </c>
      <c r="AD21" s="158">
        <f t="shared" si="26"/>
        <v>8</v>
      </c>
      <c r="AE21" s="158">
        <f t="shared" si="27"/>
        <v>0</v>
      </c>
      <c r="AF21" s="64">
        <f t="shared" si="28"/>
        <v>8</v>
      </c>
      <c r="AG21" s="169">
        <f t="shared" si="29"/>
        <v>16</v>
      </c>
      <c r="AH21" s="169">
        <f t="shared" si="30"/>
        <v>0</v>
      </c>
      <c r="AI21" s="64">
        <f t="shared" si="31"/>
        <v>16</v>
      </c>
      <c r="AJ21" s="169">
        <f t="shared" si="32"/>
        <v>8</v>
      </c>
      <c r="AK21" s="169">
        <f t="shared" si="34"/>
        <v>0</v>
      </c>
      <c r="AL21" s="64">
        <f t="shared" si="33"/>
        <v>8</v>
      </c>
    </row>
    <row r="22" spans="1:38" ht="15.75" x14ac:dyDescent="0.25">
      <c r="A22" s="2">
        <f t="shared" si="24"/>
        <v>46065</v>
      </c>
      <c r="B22" s="2">
        <f t="shared" si="16"/>
        <v>84</v>
      </c>
      <c r="C22" s="54" t="str">
        <f t="shared" si="0"/>
        <v>12.2. czwartek</v>
      </c>
      <c r="D22" s="159"/>
      <c r="E22" s="117" t="str">
        <f t="shared" si="25"/>
        <v xml:space="preserve"> </v>
      </c>
      <c r="F22" s="115">
        <v>8</v>
      </c>
      <c r="G22" s="115">
        <v>16</v>
      </c>
      <c r="H22" s="55">
        <f t="shared" si="1"/>
        <v>8</v>
      </c>
      <c r="I22" s="55">
        <f t="shared" si="2"/>
        <v>0</v>
      </c>
      <c r="J22" s="56">
        <f t="shared" si="3"/>
        <v>0</v>
      </c>
      <c r="K22" s="57">
        <f t="shared" si="35"/>
        <v>1</v>
      </c>
      <c r="L22" s="57">
        <f t="shared" si="17"/>
        <v>0</v>
      </c>
      <c r="M22" s="58" t="str">
        <f t="shared" si="5"/>
        <v>przerwa1</v>
      </c>
      <c r="N22" s="57">
        <f t="shared" si="18"/>
        <v>1</v>
      </c>
      <c r="O22" s="138"/>
      <c r="P22" s="149"/>
      <c r="Q22" s="138"/>
      <c r="R22" s="8"/>
      <c r="S22" s="60">
        <f t="shared" si="6"/>
        <v>0</v>
      </c>
      <c r="T22" s="60" t="str">
        <f t="shared" si="19"/>
        <v xml:space="preserve"> </v>
      </c>
      <c r="U22" s="60" t="str">
        <f t="shared" si="20"/>
        <v xml:space="preserve"> </v>
      </c>
      <c r="W22">
        <f t="shared" si="21"/>
        <v>480</v>
      </c>
      <c r="X22">
        <f t="shared" si="22"/>
        <v>0</v>
      </c>
      <c r="Y22">
        <f t="shared" si="23"/>
        <v>480</v>
      </c>
      <c r="AD22" s="158">
        <f t="shared" si="26"/>
        <v>8</v>
      </c>
      <c r="AE22" s="158">
        <f t="shared" si="27"/>
        <v>0</v>
      </c>
      <c r="AF22" s="64">
        <f t="shared" si="28"/>
        <v>8</v>
      </c>
      <c r="AG22" s="169">
        <f t="shared" si="29"/>
        <v>16</v>
      </c>
      <c r="AH22" s="169">
        <f t="shared" si="30"/>
        <v>0</v>
      </c>
      <c r="AI22" s="64">
        <f t="shared" si="31"/>
        <v>16</v>
      </c>
      <c r="AJ22" s="169">
        <f t="shared" si="32"/>
        <v>8</v>
      </c>
      <c r="AK22" s="169">
        <f t="shared" si="34"/>
        <v>0</v>
      </c>
      <c r="AL22" s="64">
        <f t="shared" si="33"/>
        <v>8</v>
      </c>
    </row>
    <row r="23" spans="1:38" ht="15.75" x14ac:dyDescent="0.25">
      <c r="A23" s="2">
        <f t="shared" si="24"/>
        <v>46066</v>
      </c>
      <c r="B23" s="2">
        <f t="shared" si="16"/>
        <v>84</v>
      </c>
      <c r="C23" s="54" t="str">
        <f t="shared" si="0"/>
        <v>13.2. piątek</v>
      </c>
      <c r="D23" s="159"/>
      <c r="E23" s="117" t="str">
        <f t="shared" si="25"/>
        <v xml:space="preserve"> </v>
      </c>
      <c r="F23" s="115">
        <v>8</v>
      </c>
      <c r="G23" s="115">
        <v>16</v>
      </c>
      <c r="H23" s="55">
        <f t="shared" si="1"/>
        <v>8</v>
      </c>
      <c r="I23" s="55">
        <f t="shared" si="2"/>
        <v>0</v>
      </c>
      <c r="J23" s="56">
        <f t="shared" si="3"/>
        <v>0</v>
      </c>
      <c r="K23" s="57">
        <f t="shared" si="35"/>
        <v>1</v>
      </c>
      <c r="L23" s="57">
        <f t="shared" si="17"/>
        <v>0</v>
      </c>
      <c r="M23" s="58" t="str">
        <f t="shared" si="5"/>
        <v>przerwa1</v>
      </c>
      <c r="N23" s="57">
        <f t="shared" si="18"/>
        <v>1</v>
      </c>
      <c r="O23" s="138"/>
      <c r="P23" s="149"/>
      <c r="Q23" s="138"/>
      <c r="R23" s="8"/>
      <c r="S23" s="60">
        <f t="shared" si="6"/>
        <v>0</v>
      </c>
      <c r="T23" s="60" t="str">
        <f t="shared" si="19"/>
        <v xml:space="preserve"> </v>
      </c>
      <c r="U23" s="60" t="str">
        <f t="shared" si="20"/>
        <v xml:space="preserve"> </v>
      </c>
      <c r="W23">
        <f t="shared" si="21"/>
        <v>480</v>
      </c>
      <c r="X23">
        <f t="shared" si="22"/>
        <v>0</v>
      </c>
      <c r="Y23">
        <f t="shared" si="23"/>
        <v>480</v>
      </c>
      <c r="AD23" s="158">
        <f t="shared" si="26"/>
        <v>8</v>
      </c>
      <c r="AE23" s="158">
        <f t="shared" si="27"/>
        <v>0</v>
      </c>
      <c r="AF23" s="64">
        <f t="shared" si="28"/>
        <v>8</v>
      </c>
      <c r="AG23" s="169">
        <f t="shared" si="29"/>
        <v>16</v>
      </c>
      <c r="AH23" s="169">
        <f t="shared" si="30"/>
        <v>0</v>
      </c>
      <c r="AI23" s="64">
        <f t="shared" si="31"/>
        <v>16</v>
      </c>
      <c r="AJ23" s="169">
        <f t="shared" si="32"/>
        <v>8</v>
      </c>
      <c r="AK23" s="169">
        <f t="shared" si="34"/>
        <v>0</v>
      </c>
      <c r="AL23" s="64">
        <f t="shared" si="33"/>
        <v>8</v>
      </c>
    </row>
    <row r="24" spans="1:38" ht="15.75" x14ac:dyDescent="0.25">
      <c r="A24" s="2">
        <f t="shared" si="24"/>
        <v>46067</v>
      </c>
      <c r="B24" s="2">
        <f t="shared" si="16"/>
        <v>84</v>
      </c>
      <c r="C24" s="54" t="str">
        <f t="shared" si="0"/>
        <v>14.2. sobota</v>
      </c>
      <c r="D24" s="159" t="s">
        <v>47</v>
      </c>
      <c r="E24" s="117" t="str">
        <f t="shared" si="25"/>
        <v>wolne</v>
      </c>
      <c r="F24" s="115"/>
      <c r="G24" s="115"/>
      <c r="H24" s="55" t="str">
        <f t="shared" si="1"/>
        <v/>
      </c>
      <c r="I24" s="55" t="str">
        <f t="shared" si="2"/>
        <v/>
      </c>
      <c r="J24" s="56" t="str">
        <f t="shared" si="3"/>
        <v/>
      </c>
      <c r="K24" s="57">
        <f t="shared" si="35"/>
        <v>0</v>
      </c>
      <c r="L24" s="57">
        <f t="shared" si="17"/>
        <v>0</v>
      </c>
      <c r="M24" s="58" t="str">
        <f t="shared" si="5"/>
        <v>przerwa1</v>
      </c>
      <c r="N24" s="57">
        <f t="shared" si="18"/>
        <v>0</v>
      </c>
      <c r="O24" s="138"/>
      <c r="P24" s="149"/>
      <c r="Q24" s="138"/>
      <c r="R24" s="8"/>
      <c r="S24" s="60" t="str">
        <f t="shared" si="6"/>
        <v xml:space="preserve"> </v>
      </c>
      <c r="T24" s="60" t="str">
        <f t="shared" si="19"/>
        <v xml:space="preserve"> </v>
      </c>
      <c r="U24" s="60" t="str">
        <f t="shared" si="20"/>
        <v xml:space="preserve"> </v>
      </c>
      <c r="W24">
        <f t="shared" si="21"/>
        <v>0</v>
      </c>
      <c r="X24">
        <f t="shared" si="22"/>
        <v>0</v>
      </c>
      <c r="Y24">
        <f t="shared" si="23"/>
        <v>0</v>
      </c>
      <c r="AD24" s="158">
        <f t="shared" si="26"/>
        <v>0</v>
      </c>
      <c r="AE24" s="158">
        <f t="shared" si="27"/>
        <v>0</v>
      </c>
      <c r="AF24" s="64" t="str">
        <f t="shared" si="28"/>
        <v xml:space="preserve"> </v>
      </c>
      <c r="AG24" s="169">
        <f t="shared" si="29"/>
        <v>0</v>
      </c>
      <c r="AH24" s="169">
        <f t="shared" si="30"/>
        <v>0</v>
      </c>
      <c r="AI24" s="64" t="str">
        <f t="shared" si="31"/>
        <v xml:space="preserve"> </v>
      </c>
      <c r="AJ24" s="169" t="str">
        <f t="shared" si="32"/>
        <v/>
      </c>
      <c r="AK24" s="169" t="str">
        <f t="shared" si="34"/>
        <v/>
      </c>
      <c r="AL24" s="64" t="str">
        <f t="shared" si="33"/>
        <v xml:space="preserve"> </v>
      </c>
    </row>
    <row r="25" spans="1:38" ht="15.75" x14ac:dyDescent="0.25">
      <c r="A25" s="2">
        <f t="shared" si="24"/>
        <v>46068</v>
      </c>
      <c r="B25" s="2">
        <f t="shared" si="16"/>
        <v>84</v>
      </c>
      <c r="C25" s="54" t="str">
        <f t="shared" si="0"/>
        <v>15.2. niedziela</v>
      </c>
      <c r="D25" s="159" t="s">
        <v>47</v>
      </c>
      <c r="E25" s="117" t="str">
        <f t="shared" si="25"/>
        <v>wolne</v>
      </c>
      <c r="F25" s="115"/>
      <c r="G25" s="115"/>
      <c r="H25" s="55" t="str">
        <f t="shared" si="1"/>
        <v/>
      </c>
      <c r="I25" s="55" t="str">
        <f t="shared" si="2"/>
        <v/>
      </c>
      <c r="J25" s="56" t="str">
        <f t="shared" si="3"/>
        <v/>
      </c>
      <c r="K25" s="57">
        <f t="shared" si="35"/>
        <v>0</v>
      </c>
      <c r="L25" s="57">
        <f t="shared" si="17"/>
        <v>0</v>
      </c>
      <c r="M25" s="58" t="str">
        <f t="shared" si="5"/>
        <v>przerwa1</v>
      </c>
      <c r="N25" s="57">
        <f t="shared" si="18"/>
        <v>0</v>
      </c>
      <c r="O25" s="138"/>
      <c r="P25" s="149"/>
      <c r="Q25" s="138"/>
      <c r="R25" s="8"/>
      <c r="S25" s="60" t="str">
        <f t="shared" si="6"/>
        <v xml:space="preserve"> </v>
      </c>
      <c r="T25" s="60" t="str">
        <f t="shared" si="19"/>
        <v xml:space="preserve"> </v>
      </c>
      <c r="U25" s="60" t="str">
        <f t="shared" si="20"/>
        <v xml:space="preserve"> </v>
      </c>
      <c r="W25">
        <f t="shared" si="21"/>
        <v>0</v>
      </c>
      <c r="X25">
        <f t="shared" si="22"/>
        <v>0</v>
      </c>
      <c r="Y25">
        <f t="shared" si="23"/>
        <v>0</v>
      </c>
      <c r="AD25" s="158">
        <f t="shared" si="26"/>
        <v>0</v>
      </c>
      <c r="AE25" s="158">
        <f t="shared" si="27"/>
        <v>0</v>
      </c>
      <c r="AF25" s="64" t="str">
        <f t="shared" si="28"/>
        <v xml:space="preserve"> </v>
      </c>
      <c r="AG25" s="169">
        <f t="shared" si="29"/>
        <v>0</v>
      </c>
      <c r="AH25" s="169">
        <f t="shared" si="30"/>
        <v>0</v>
      </c>
      <c r="AI25" s="64" t="str">
        <f t="shared" si="31"/>
        <v xml:space="preserve"> </v>
      </c>
      <c r="AJ25" s="169" t="str">
        <f t="shared" si="32"/>
        <v/>
      </c>
      <c r="AK25" s="169" t="str">
        <f t="shared" si="34"/>
        <v/>
      </c>
      <c r="AL25" s="64" t="str">
        <f t="shared" si="33"/>
        <v xml:space="preserve"> </v>
      </c>
    </row>
    <row r="26" spans="1:38" ht="15.75" x14ac:dyDescent="0.25">
      <c r="A26" s="2">
        <f t="shared" si="24"/>
        <v>46069</v>
      </c>
      <c r="B26" s="2">
        <f t="shared" si="16"/>
        <v>84</v>
      </c>
      <c r="C26" s="54" t="str">
        <f t="shared" si="0"/>
        <v>16.2. poniedziałek</v>
      </c>
      <c r="D26" s="159"/>
      <c r="E26" s="117" t="str">
        <f t="shared" si="25"/>
        <v xml:space="preserve"> </v>
      </c>
      <c r="F26" s="115">
        <v>8</v>
      </c>
      <c r="G26" s="115">
        <v>16</v>
      </c>
      <c r="H26" s="55">
        <f t="shared" si="1"/>
        <v>8</v>
      </c>
      <c r="I26" s="55">
        <f t="shared" si="2"/>
        <v>0</v>
      </c>
      <c r="J26" s="56">
        <f t="shared" si="3"/>
        <v>0</v>
      </c>
      <c r="K26" s="57">
        <f t="shared" si="35"/>
        <v>1</v>
      </c>
      <c r="L26" s="57">
        <f t="shared" si="17"/>
        <v>0</v>
      </c>
      <c r="M26" s="58" t="str">
        <f t="shared" si="5"/>
        <v>przerwa1</v>
      </c>
      <c r="N26" s="57">
        <f t="shared" si="18"/>
        <v>1</v>
      </c>
      <c r="O26" s="138"/>
      <c r="P26" s="149"/>
      <c r="Q26" s="138"/>
      <c r="R26" s="8"/>
      <c r="S26" s="60">
        <f t="shared" si="6"/>
        <v>0</v>
      </c>
      <c r="T26" s="60" t="str">
        <f t="shared" si="19"/>
        <v xml:space="preserve"> </v>
      </c>
      <c r="U26" s="60" t="str">
        <f t="shared" si="20"/>
        <v xml:space="preserve"> </v>
      </c>
      <c r="W26">
        <f t="shared" si="21"/>
        <v>480</v>
      </c>
      <c r="X26">
        <f t="shared" si="22"/>
        <v>0</v>
      </c>
      <c r="Y26">
        <f t="shared" si="23"/>
        <v>480</v>
      </c>
      <c r="AD26" s="158">
        <f t="shared" si="26"/>
        <v>8</v>
      </c>
      <c r="AE26" s="158">
        <f t="shared" si="27"/>
        <v>0</v>
      </c>
      <c r="AF26" s="64">
        <f t="shared" si="28"/>
        <v>8</v>
      </c>
      <c r="AG26" s="169">
        <f t="shared" si="29"/>
        <v>16</v>
      </c>
      <c r="AH26" s="169">
        <f t="shared" si="30"/>
        <v>0</v>
      </c>
      <c r="AI26" s="64">
        <f t="shared" si="31"/>
        <v>16</v>
      </c>
      <c r="AJ26" s="169">
        <f t="shared" si="32"/>
        <v>8</v>
      </c>
      <c r="AK26" s="169">
        <f t="shared" si="34"/>
        <v>0</v>
      </c>
      <c r="AL26" s="64">
        <f t="shared" si="33"/>
        <v>8</v>
      </c>
    </row>
    <row r="27" spans="1:38" ht="15.75" x14ac:dyDescent="0.25">
      <c r="A27" s="2">
        <f t="shared" si="24"/>
        <v>46070</v>
      </c>
      <c r="B27" s="2">
        <f t="shared" si="16"/>
        <v>84</v>
      </c>
      <c r="C27" s="54" t="str">
        <f t="shared" si="0"/>
        <v>17.2. wtorek</v>
      </c>
      <c r="D27" s="159"/>
      <c r="E27" s="117" t="str">
        <f t="shared" si="25"/>
        <v xml:space="preserve"> </v>
      </c>
      <c r="F27" s="115">
        <v>8</v>
      </c>
      <c r="G27" s="115">
        <v>16</v>
      </c>
      <c r="H27" s="55">
        <f t="shared" si="1"/>
        <v>8</v>
      </c>
      <c r="I27" s="55">
        <f t="shared" si="2"/>
        <v>0</v>
      </c>
      <c r="J27" s="56">
        <f t="shared" si="3"/>
        <v>0</v>
      </c>
      <c r="K27" s="57">
        <f t="shared" si="35"/>
        <v>1</v>
      </c>
      <c r="L27" s="57">
        <f t="shared" si="17"/>
        <v>0</v>
      </c>
      <c r="M27" s="58" t="str">
        <f t="shared" si="5"/>
        <v>przerwa1</v>
      </c>
      <c r="N27" s="57">
        <f t="shared" si="18"/>
        <v>1</v>
      </c>
      <c r="O27" s="138"/>
      <c r="P27" s="149"/>
      <c r="Q27" s="138"/>
      <c r="R27" s="8"/>
      <c r="S27" s="60">
        <f t="shared" si="6"/>
        <v>0</v>
      </c>
      <c r="T27" s="60" t="str">
        <f t="shared" si="19"/>
        <v xml:space="preserve"> </v>
      </c>
      <c r="U27" s="60" t="str">
        <f t="shared" si="20"/>
        <v xml:space="preserve"> </v>
      </c>
      <c r="W27">
        <f t="shared" si="21"/>
        <v>480</v>
      </c>
      <c r="X27">
        <f t="shared" si="22"/>
        <v>0</v>
      </c>
      <c r="Y27">
        <f t="shared" si="23"/>
        <v>480</v>
      </c>
      <c r="AD27" s="158">
        <f t="shared" si="26"/>
        <v>8</v>
      </c>
      <c r="AE27" s="158">
        <f t="shared" si="27"/>
        <v>0</v>
      </c>
      <c r="AF27" s="64">
        <f t="shared" si="28"/>
        <v>8</v>
      </c>
      <c r="AG27" s="169">
        <f t="shared" si="29"/>
        <v>16</v>
      </c>
      <c r="AH27" s="169">
        <f t="shared" si="30"/>
        <v>0</v>
      </c>
      <c r="AI27" s="64">
        <f t="shared" si="31"/>
        <v>16</v>
      </c>
      <c r="AJ27" s="169">
        <f t="shared" si="32"/>
        <v>8</v>
      </c>
      <c r="AK27" s="169">
        <f t="shared" si="34"/>
        <v>0</v>
      </c>
      <c r="AL27" s="64">
        <f t="shared" si="33"/>
        <v>8</v>
      </c>
    </row>
    <row r="28" spans="1:38" ht="15.75" x14ac:dyDescent="0.25">
      <c r="A28" s="2">
        <f t="shared" si="24"/>
        <v>46071</v>
      </c>
      <c r="B28" s="2">
        <f t="shared" si="16"/>
        <v>84</v>
      </c>
      <c r="C28" s="54" t="str">
        <f t="shared" si="0"/>
        <v>18.2. środa</v>
      </c>
      <c r="D28" s="159"/>
      <c r="E28" s="117" t="str">
        <f t="shared" si="25"/>
        <v xml:space="preserve"> </v>
      </c>
      <c r="F28" s="115">
        <v>8</v>
      </c>
      <c r="G28" s="115">
        <v>16</v>
      </c>
      <c r="H28" s="55">
        <f t="shared" si="1"/>
        <v>8</v>
      </c>
      <c r="I28" s="55">
        <f t="shared" si="2"/>
        <v>0</v>
      </c>
      <c r="J28" s="56">
        <f t="shared" si="3"/>
        <v>0</v>
      </c>
      <c r="K28" s="57">
        <f t="shared" si="35"/>
        <v>1</v>
      </c>
      <c r="L28" s="57">
        <f t="shared" si="17"/>
        <v>0</v>
      </c>
      <c r="M28" s="58" t="str">
        <f t="shared" si="5"/>
        <v>przerwa1</v>
      </c>
      <c r="N28" s="57">
        <f t="shared" si="18"/>
        <v>1</v>
      </c>
      <c r="O28" s="138"/>
      <c r="P28" s="149"/>
      <c r="Q28" s="138"/>
      <c r="R28" s="8"/>
      <c r="S28" s="60">
        <f t="shared" si="6"/>
        <v>0</v>
      </c>
      <c r="T28" s="60" t="str">
        <f t="shared" si="19"/>
        <v xml:space="preserve"> </v>
      </c>
      <c r="U28" s="60" t="str">
        <f t="shared" si="20"/>
        <v xml:space="preserve"> </v>
      </c>
      <c r="W28">
        <f t="shared" si="21"/>
        <v>480</v>
      </c>
      <c r="X28">
        <f t="shared" si="22"/>
        <v>0</v>
      </c>
      <c r="Y28">
        <f t="shared" si="23"/>
        <v>480</v>
      </c>
      <c r="AD28" s="158">
        <f t="shared" si="26"/>
        <v>8</v>
      </c>
      <c r="AE28" s="158">
        <f t="shared" si="27"/>
        <v>0</v>
      </c>
      <c r="AF28" s="64">
        <f t="shared" si="28"/>
        <v>8</v>
      </c>
      <c r="AG28" s="169">
        <f t="shared" si="29"/>
        <v>16</v>
      </c>
      <c r="AH28" s="169">
        <f t="shared" si="30"/>
        <v>0</v>
      </c>
      <c r="AI28" s="64">
        <f t="shared" si="31"/>
        <v>16</v>
      </c>
      <c r="AJ28" s="169">
        <f t="shared" si="32"/>
        <v>8</v>
      </c>
      <c r="AK28" s="169">
        <f t="shared" si="34"/>
        <v>0</v>
      </c>
      <c r="AL28" s="64">
        <f t="shared" si="33"/>
        <v>8</v>
      </c>
    </row>
    <row r="29" spans="1:38" ht="15.75" x14ac:dyDescent="0.25">
      <c r="A29" s="2">
        <f t="shared" si="24"/>
        <v>46072</v>
      </c>
      <c r="B29" s="2">
        <f t="shared" si="16"/>
        <v>84</v>
      </c>
      <c r="C29" s="54" t="str">
        <f t="shared" si="0"/>
        <v>19.2. czwartek</v>
      </c>
      <c r="D29" s="159"/>
      <c r="E29" s="117" t="str">
        <f t="shared" si="25"/>
        <v xml:space="preserve"> </v>
      </c>
      <c r="F29" s="115">
        <v>8</v>
      </c>
      <c r="G29" s="115">
        <v>16</v>
      </c>
      <c r="H29" s="55">
        <f t="shared" si="1"/>
        <v>8</v>
      </c>
      <c r="I29" s="55">
        <f t="shared" si="2"/>
        <v>0</v>
      </c>
      <c r="J29" s="56">
        <f t="shared" si="3"/>
        <v>0</v>
      </c>
      <c r="K29" s="57">
        <f t="shared" si="35"/>
        <v>1</v>
      </c>
      <c r="L29" s="57">
        <f t="shared" si="17"/>
        <v>0</v>
      </c>
      <c r="M29" s="58" t="str">
        <f t="shared" si="5"/>
        <v>przerwa1</v>
      </c>
      <c r="N29" s="57">
        <f t="shared" si="18"/>
        <v>1</v>
      </c>
      <c r="O29" s="138"/>
      <c r="P29" s="149"/>
      <c r="Q29" s="138"/>
      <c r="R29" s="8"/>
      <c r="S29" s="60">
        <f t="shared" si="6"/>
        <v>0</v>
      </c>
      <c r="T29" s="60" t="str">
        <f t="shared" si="19"/>
        <v xml:space="preserve"> </v>
      </c>
      <c r="U29" s="60" t="str">
        <f t="shared" si="20"/>
        <v xml:space="preserve"> </v>
      </c>
      <c r="W29">
        <f t="shared" si="21"/>
        <v>480</v>
      </c>
      <c r="X29">
        <f t="shared" si="22"/>
        <v>0</v>
      </c>
      <c r="Y29">
        <f t="shared" si="23"/>
        <v>480</v>
      </c>
      <c r="AD29" s="158">
        <f t="shared" si="26"/>
        <v>8</v>
      </c>
      <c r="AE29" s="158">
        <f t="shared" si="27"/>
        <v>0</v>
      </c>
      <c r="AF29" s="64">
        <f t="shared" si="28"/>
        <v>8</v>
      </c>
      <c r="AG29" s="169">
        <f t="shared" si="29"/>
        <v>16</v>
      </c>
      <c r="AH29" s="169">
        <f t="shared" si="30"/>
        <v>0</v>
      </c>
      <c r="AI29" s="64">
        <f t="shared" si="31"/>
        <v>16</v>
      </c>
      <c r="AJ29" s="169">
        <f t="shared" si="32"/>
        <v>8</v>
      </c>
      <c r="AK29" s="169">
        <f t="shared" si="34"/>
        <v>0</v>
      </c>
      <c r="AL29" s="64">
        <f t="shared" si="33"/>
        <v>8</v>
      </c>
    </row>
    <row r="30" spans="1:38" ht="15.75" x14ac:dyDescent="0.25">
      <c r="A30" s="2">
        <f t="shared" si="24"/>
        <v>46073</v>
      </c>
      <c r="B30" s="2">
        <f t="shared" si="16"/>
        <v>84</v>
      </c>
      <c r="C30" s="54" t="str">
        <f t="shared" si="0"/>
        <v>20.2. piątek</v>
      </c>
      <c r="D30" s="159"/>
      <c r="E30" s="117" t="str">
        <f t="shared" si="25"/>
        <v xml:space="preserve"> </v>
      </c>
      <c r="F30" s="115">
        <v>8</v>
      </c>
      <c r="G30" s="115">
        <v>16</v>
      </c>
      <c r="H30" s="55">
        <f t="shared" si="1"/>
        <v>8</v>
      </c>
      <c r="I30" s="55">
        <f t="shared" si="2"/>
        <v>0</v>
      </c>
      <c r="J30" s="56">
        <f t="shared" si="3"/>
        <v>0</v>
      </c>
      <c r="K30" s="57">
        <f t="shared" si="35"/>
        <v>1</v>
      </c>
      <c r="L30" s="57">
        <f t="shared" si="17"/>
        <v>0</v>
      </c>
      <c r="M30" s="58" t="str">
        <f t="shared" si="5"/>
        <v>przerwa1</v>
      </c>
      <c r="N30" s="57">
        <f t="shared" si="18"/>
        <v>1</v>
      </c>
      <c r="O30" s="138"/>
      <c r="P30" s="149"/>
      <c r="Q30" s="138"/>
      <c r="R30" s="8"/>
      <c r="S30" s="60">
        <f t="shared" si="6"/>
        <v>0</v>
      </c>
      <c r="T30" s="60" t="str">
        <f t="shared" si="19"/>
        <v xml:space="preserve"> </v>
      </c>
      <c r="U30" s="60" t="str">
        <f t="shared" si="20"/>
        <v xml:space="preserve"> </v>
      </c>
      <c r="W30">
        <f t="shared" si="21"/>
        <v>480</v>
      </c>
      <c r="X30">
        <f t="shared" si="22"/>
        <v>0</v>
      </c>
      <c r="Y30">
        <f t="shared" si="23"/>
        <v>480</v>
      </c>
      <c r="AD30" s="158">
        <f t="shared" si="26"/>
        <v>8</v>
      </c>
      <c r="AE30" s="158">
        <f t="shared" si="27"/>
        <v>0</v>
      </c>
      <c r="AF30" s="64">
        <f t="shared" si="28"/>
        <v>8</v>
      </c>
      <c r="AG30" s="169">
        <f t="shared" si="29"/>
        <v>16</v>
      </c>
      <c r="AH30" s="169">
        <f t="shared" si="30"/>
        <v>0</v>
      </c>
      <c r="AI30" s="64">
        <f t="shared" si="31"/>
        <v>16</v>
      </c>
      <c r="AJ30" s="169">
        <f t="shared" si="32"/>
        <v>8</v>
      </c>
      <c r="AK30" s="169">
        <f t="shared" si="34"/>
        <v>0</v>
      </c>
      <c r="AL30" s="64">
        <f t="shared" si="33"/>
        <v>8</v>
      </c>
    </row>
    <row r="31" spans="1:38" ht="15.75" x14ac:dyDescent="0.25">
      <c r="A31" s="2">
        <f t="shared" si="24"/>
        <v>46074</v>
      </c>
      <c r="B31" s="2">
        <f t="shared" si="16"/>
        <v>84</v>
      </c>
      <c r="C31" s="54" t="str">
        <f t="shared" si="0"/>
        <v>21.2. sobota</v>
      </c>
      <c r="D31" s="159" t="s">
        <v>47</v>
      </c>
      <c r="E31" s="117" t="str">
        <f t="shared" si="25"/>
        <v>wolne</v>
      </c>
      <c r="F31" s="115"/>
      <c r="G31" s="115"/>
      <c r="H31" s="55" t="str">
        <f t="shared" si="1"/>
        <v/>
      </c>
      <c r="I31" s="55" t="str">
        <f t="shared" si="2"/>
        <v/>
      </c>
      <c r="J31" s="56" t="str">
        <f t="shared" si="3"/>
        <v/>
      </c>
      <c r="K31" s="57">
        <f t="shared" si="35"/>
        <v>0</v>
      </c>
      <c r="L31" s="57">
        <f t="shared" si="17"/>
        <v>0</v>
      </c>
      <c r="M31" s="58" t="str">
        <f t="shared" si="5"/>
        <v>przerwa1</v>
      </c>
      <c r="N31" s="57">
        <f t="shared" si="18"/>
        <v>0</v>
      </c>
      <c r="O31" s="138"/>
      <c r="P31" s="149"/>
      <c r="Q31" s="138"/>
      <c r="R31" s="8"/>
      <c r="S31" s="60" t="str">
        <f t="shared" si="6"/>
        <v xml:space="preserve"> </v>
      </c>
      <c r="T31" s="60" t="str">
        <f t="shared" si="19"/>
        <v xml:space="preserve"> </v>
      </c>
      <c r="U31" s="60" t="str">
        <f t="shared" si="20"/>
        <v xml:space="preserve"> </v>
      </c>
      <c r="W31">
        <f t="shared" si="21"/>
        <v>0</v>
      </c>
      <c r="X31">
        <f t="shared" si="22"/>
        <v>0</v>
      </c>
      <c r="Y31">
        <f t="shared" si="23"/>
        <v>0</v>
      </c>
      <c r="AD31" s="158">
        <f t="shared" si="26"/>
        <v>0</v>
      </c>
      <c r="AE31" s="158">
        <f t="shared" si="27"/>
        <v>0</v>
      </c>
      <c r="AF31" s="64" t="str">
        <f t="shared" si="28"/>
        <v xml:space="preserve"> </v>
      </c>
      <c r="AG31" s="169">
        <f t="shared" si="29"/>
        <v>0</v>
      </c>
      <c r="AH31" s="169">
        <f t="shared" si="30"/>
        <v>0</v>
      </c>
      <c r="AI31" s="64" t="str">
        <f t="shared" si="31"/>
        <v xml:space="preserve"> </v>
      </c>
      <c r="AJ31" s="169" t="str">
        <f t="shared" si="32"/>
        <v/>
      </c>
      <c r="AK31" s="169" t="str">
        <f t="shared" si="34"/>
        <v/>
      </c>
      <c r="AL31" s="64" t="str">
        <f t="shared" si="33"/>
        <v xml:space="preserve"> </v>
      </c>
    </row>
    <row r="32" spans="1:38" ht="15.75" x14ac:dyDescent="0.25">
      <c r="A32" s="2">
        <f t="shared" si="24"/>
        <v>46075</v>
      </c>
      <c r="B32" s="2">
        <f t="shared" si="16"/>
        <v>84</v>
      </c>
      <c r="C32" s="54" t="str">
        <f t="shared" si="0"/>
        <v>22.2. niedziela</v>
      </c>
      <c r="D32" s="159" t="s">
        <v>47</v>
      </c>
      <c r="E32" s="117" t="str">
        <f t="shared" si="25"/>
        <v>wolne</v>
      </c>
      <c r="F32" s="115"/>
      <c r="G32" s="115"/>
      <c r="H32" s="55" t="str">
        <f t="shared" si="1"/>
        <v/>
      </c>
      <c r="I32" s="55" t="str">
        <f t="shared" si="2"/>
        <v/>
      </c>
      <c r="J32" s="56" t="str">
        <f t="shared" si="3"/>
        <v/>
      </c>
      <c r="K32" s="57">
        <f t="shared" si="35"/>
        <v>0</v>
      </c>
      <c r="L32" s="57">
        <f t="shared" si="17"/>
        <v>0</v>
      </c>
      <c r="M32" s="58" t="str">
        <f t="shared" si="5"/>
        <v>przerwa1</v>
      </c>
      <c r="N32" s="57">
        <f t="shared" si="18"/>
        <v>0</v>
      </c>
      <c r="O32" s="138"/>
      <c r="P32" s="149"/>
      <c r="Q32" s="138"/>
      <c r="R32" s="8"/>
      <c r="S32" s="60" t="str">
        <f t="shared" si="6"/>
        <v xml:space="preserve"> </v>
      </c>
      <c r="T32" s="60" t="str">
        <f t="shared" si="19"/>
        <v xml:space="preserve"> </v>
      </c>
      <c r="U32" s="60" t="str">
        <f t="shared" si="20"/>
        <v xml:space="preserve"> </v>
      </c>
      <c r="W32">
        <f t="shared" si="21"/>
        <v>0</v>
      </c>
      <c r="X32">
        <f t="shared" si="22"/>
        <v>0</v>
      </c>
      <c r="Y32">
        <f t="shared" si="23"/>
        <v>0</v>
      </c>
      <c r="AD32" s="158">
        <f t="shared" si="26"/>
        <v>0</v>
      </c>
      <c r="AE32" s="158">
        <f t="shared" si="27"/>
        <v>0</v>
      </c>
      <c r="AF32" s="64" t="str">
        <f t="shared" si="28"/>
        <v xml:space="preserve"> </v>
      </c>
      <c r="AG32" s="169">
        <f t="shared" si="29"/>
        <v>0</v>
      </c>
      <c r="AH32" s="169">
        <f t="shared" si="30"/>
        <v>0</v>
      </c>
      <c r="AI32" s="64" t="str">
        <f t="shared" si="31"/>
        <v xml:space="preserve"> </v>
      </c>
      <c r="AJ32" s="169" t="str">
        <f t="shared" si="32"/>
        <v/>
      </c>
      <c r="AK32" s="169" t="str">
        <f t="shared" si="34"/>
        <v/>
      </c>
      <c r="AL32" s="64" t="str">
        <f t="shared" si="33"/>
        <v xml:space="preserve"> </v>
      </c>
    </row>
    <row r="33" spans="1:38" ht="15.75" x14ac:dyDescent="0.25">
      <c r="A33" s="2">
        <f t="shared" si="24"/>
        <v>46076</v>
      </c>
      <c r="B33" s="2">
        <f t="shared" si="16"/>
        <v>84</v>
      </c>
      <c r="C33" s="54" t="str">
        <f t="shared" si="0"/>
        <v>23.2. poniedziałek</v>
      </c>
      <c r="D33" s="159"/>
      <c r="E33" s="117" t="str">
        <f t="shared" si="25"/>
        <v xml:space="preserve"> </v>
      </c>
      <c r="F33" s="115">
        <v>8</v>
      </c>
      <c r="G33" s="115">
        <v>16</v>
      </c>
      <c r="H33" s="55">
        <f t="shared" si="1"/>
        <v>8</v>
      </c>
      <c r="I33" s="55">
        <f t="shared" si="2"/>
        <v>0</v>
      </c>
      <c r="J33" s="56">
        <f t="shared" si="3"/>
        <v>0</v>
      </c>
      <c r="K33" s="57">
        <f t="shared" si="35"/>
        <v>1</v>
      </c>
      <c r="L33" s="57">
        <f t="shared" si="17"/>
        <v>0</v>
      </c>
      <c r="M33" s="58" t="str">
        <f t="shared" si="5"/>
        <v>przerwa1</v>
      </c>
      <c r="N33" s="57">
        <f t="shared" si="18"/>
        <v>1</v>
      </c>
      <c r="O33" s="138"/>
      <c r="P33" s="149"/>
      <c r="R33" s="8"/>
      <c r="S33" s="60">
        <f t="shared" si="6"/>
        <v>0</v>
      </c>
      <c r="T33" s="60" t="str">
        <f t="shared" si="19"/>
        <v xml:space="preserve"> </v>
      </c>
      <c r="U33" s="60" t="str">
        <f t="shared" si="20"/>
        <v xml:space="preserve"> </v>
      </c>
      <c r="W33">
        <f t="shared" si="21"/>
        <v>480</v>
      </c>
      <c r="X33">
        <f t="shared" si="22"/>
        <v>0</v>
      </c>
      <c r="Y33">
        <f t="shared" si="23"/>
        <v>480</v>
      </c>
      <c r="AD33" s="158">
        <f t="shared" si="26"/>
        <v>8</v>
      </c>
      <c r="AE33" s="158">
        <f t="shared" si="27"/>
        <v>0</v>
      </c>
      <c r="AF33" s="64">
        <f t="shared" si="28"/>
        <v>8</v>
      </c>
      <c r="AG33" s="169">
        <f t="shared" si="29"/>
        <v>16</v>
      </c>
      <c r="AH33" s="169">
        <f t="shared" si="30"/>
        <v>0</v>
      </c>
      <c r="AI33" s="64">
        <f t="shared" si="31"/>
        <v>16</v>
      </c>
      <c r="AJ33" s="169">
        <f t="shared" si="32"/>
        <v>8</v>
      </c>
      <c r="AK33" s="169">
        <f t="shared" si="34"/>
        <v>0</v>
      </c>
      <c r="AL33" s="64">
        <f t="shared" si="33"/>
        <v>8</v>
      </c>
    </row>
    <row r="34" spans="1:38" ht="15.75" x14ac:dyDescent="0.25">
      <c r="A34" s="2">
        <f t="shared" si="24"/>
        <v>46077</v>
      </c>
      <c r="B34" s="2">
        <f t="shared" si="16"/>
        <v>84</v>
      </c>
      <c r="C34" s="54" t="str">
        <f t="shared" si="0"/>
        <v>24.2. wtorek</v>
      </c>
      <c r="D34" s="159"/>
      <c r="E34" s="117" t="str">
        <f t="shared" si="25"/>
        <v xml:space="preserve"> </v>
      </c>
      <c r="F34" s="115">
        <v>8</v>
      </c>
      <c r="G34" s="115">
        <v>16</v>
      </c>
      <c r="H34" s="55">
        <f t="shared" si="1"/>
        <v>8</v>
      </c>
      <c r="I34" s="55">
        <f t="shared" si="2"/>
        <v>0</v>
      </c>
      <c r="J34" s="56">
        <f t="shared" si="3"/>
        <v>0</v>
      </c>
      <c r="K34" s="57">
        <f t="shared" si="35"/>
        <v>1</v>
      </c>
      <c r="L34" s="57">
        <f t="shared" si="17"/>
        <v>0</v>
      </c>
      <c r="M34" s="58" t="str">
        <f t="shared" si="5"/>
        <v>przerwa1</v>
      </c>
      <c r="N34" s="57">
        <f t="shared" si="18"/>
        <v>1</v>
      </c>
      <c r="O34" s="138"/>
      <c r="P34" s="149"/>
      <c r="Q34" s="138"/>
      <c r="R34" s="8"/>
      <c r="S34" s="60">
        <f t="shared" si="6"/>
        <v>0</v>
      </c>
      <c r="T34" s="60" t="str">
        <f t="shared" si="19"/>
        <v xml:space="preserve"> </v>
      </c>
      <c r="U34" s="60" t="str">
        <f t="shared" si="20"/>
        <v xml:space="preserve"> </v>
      </c>
      <c r="W34">
        <f t="shared" si="21"/>
        <v>480</v>
      </c>
      <c r="X34">
        <f t="shared" si="22"/>
        <v>0</v>
      </c>
      <c r="Y34">
        <f t="shared" si="23"/>
        <v>480</v>
      </c>
      <c r="AD34" s="158">
        <f t="shared" si="26"/>
        <v>8</v>
      </c>
      <c r="AE34" s="158">
        <f t="shared" si="27"/>
        <v>0</v>
      </c>
      <c r="AF34" s="64">
        <f t="shared" si="28"/>
        <v>8</v>
      </c>
      <c r="AG34" s="169">
        <f t="shared" si="29"/>
        <v>16</v>
      </c>
      <c r="AH34" s="169">
        <f t="shared" si="30"/>
        <v>0</v>
      </c>
      <c r="AI34" s="64">
        <f t="shared" si="31"/>
        <v>16</v>
      </c>
      <c r="AJ34" s="169">
        <f t="shared" si="32"/>
        <v>8</v>
      </c>
      <c r="AK34" s="169">
        <f t="shared" si="34"/>
        <v>0</v>
      </c>
      <c r="AL34" s="64">
        <f t="shared" si="33"/>
        <v>8</v>
      </c>
    </row>
    <row r="35" spans="1:38" ht="15.75" x14ac:dyDescent="0.25">
      <c r="A35" s="2">
        <f t="shared" si="24"/>
        <v>46078</v>
      </c>
      <c r="B35" s="2">
        <f t="shared" si="16"/>
        <v>84</v>
      </c>
      <c r="C35" s="54" t="str">
        <f t="shared" si="0"/>
        <v>25.2. środa</v>
      </c>
      <c r="D35" s="159"/>
      <c r="E35" s="117" t="str">
        <f t="shared" si="25"/>
        <v xml:space="preserve"> </v>
      </c>
      <c r="F35" s="115">
        <v>8</v>
      </c>
      <c r="G35" s="115">
        <v>16</v>
      </c>
      <c r="H35" s="55">
        <f t="shared" si="1"/>
        <v>8</v>
      </c>
      <c r="I35" s="55">
        <f t="shared" si="2"/>
        <v>0</v>
      </c>
      <c r="J35" s="56">
        <f t="shared" si="3"/>
        <v>0</v>
      </c>
      <c r="K35" s="57">
        <f t="shared" si="35"/>
        <v>1</v>
      </c>
      <c r="L35" s="57">
        <f t="shared" si="17"/>
        <v>0</v>
      </c>
      <c r="M35" s="58" t="str">
        <f t="shared" si="5"/>
        <v>przerwa1</v>
      </c>
      <c r="N35" s="57">
        <f t="shared" si="18"/>
        <v>1</v>
      </c>
      <c r="O35" s="138"/>
      <c r="P35" s="149"/>
      <c r="Q35" s="138"/>
      <c r="R35" s="8"/>
      <c r="S35" s="60">
        <f t="shared" si="6"/>
        <v>0</v>
      </c>
      <c r="T35" s="60" t="str">
        <f t="shared" si="19"/>
        <v xml:space="preserve"> </v>
      </c>
      <c r="U35" s="60" t="str">
        <f t="shared" si="20"/>
        <v xml:space="preserve"> </v>
      </c>
      <c r="W35">
        <f t="shared" si="21"/>
        <v>480</v>
      </c>
      <c r="X35">
        <f t="shared" si="22"/>
        <v>0</v>
      </c>
      <c r="Y35">
        <f t="shared" si="23"/>
        <v>480</v>
      </c>
      <c r="AD35" s="158">
        <f t="shared" si="26"/>
        <v>8</v>
      </c>
      <c r="AE35" s="158">
        <f t="shared" si="27"/>
        <v>0</v>
      </c>
      <c r="AF35" s="64">
        <f t="shared" si="28"/>
        <v>8</v>
      </c>
      <c r="AG35" s="169">
        <f t="shared" si="29"/>
        <v>16</v>
      </c>
      <c r="AH35" s="169">
        <f t="shared" si="30"/>
        <v>0</v>
      </c>
      <c r="AI35" s="64">
        <f t="shared" si="31"/>
        <v>16</v>
      </c>
      <c r="AJ35" s="169">
        <f t="shared" si="32"/>
        <v>8</v>
      </c>
      <c r="AK35" s="169">
        <f t="shared" si="34"/>
        <v>0</v>
      </c>
      <c r="AL35" s="64">
        <f t="shared" si="33"/>
        <v>8</v>
      </c>
    </row>
    <row r="36" spans="1:38" ht="15.75" x14ac:dyDescent="0.25">
      <c r="A36" s="2">
        <f t="shared" si="24"/>
        <v>46079</v>
      </c>
      <c r="B36" s="2">
        <f t="shared" si="16"/>
        <v>84</v>
      </c>
      <c r="C36" s="54" t="str">
        <f t="shared" si="0"/>
        <v>26.2. czwartek</v>
      </c>
      <c r="D36" s="159"/>
      <c r="E36" s="117" t="str">
        <f t="shared" si="25"/>
        <v xml:space="preserve"> </v>
      </c>
      <c r="F36" s="115">
        <v>8</v>
      </c>
      <c r="G36" s="115">
        <v>16</v>
      </c>
      <c r="H36" s="55">
        <f t="shared" si="1"/>
        <v>8</v>
      </c>
      <c r="I36" s="55">
        <f t="shared" si="2"/>
        <v>0</v>
      </c>
      <c r="J36" s="56">
        <f t="shared" si="3"/>
        <v>0</v>
      </c>
      <c r="K36" s="57">
        <f t="shared" si="35"/>
        <v>1</v>
      </c>
      <c r="L36" s="57">
        <f t="shared" si="17"/>
        <v>0</v>
      </c>
      <c r="M36" s="58" t="str">
        <f t="shared" si="5"/>
        <v>przerwa1</v>
      </c>
      <c r="N36" s="57">
        <f t="shared" si="18"/>
        <v>1</v>
      </c>
      <c r="O36" s="138"/>
      <c r="P36" s="149"/>
      <c r="Q36" s="138"/>
      <c r="R36" s="8"/>
      <c r="S36" s="60">
        <f t="shared" si="6"/>
        <v>0</v>
      </c>
      <c r="T36" s="60" t="str">
        <f t="shared" si="19"/>
        <v xml:space="preserve"> </v>
      </c>
      <c r="U36" s="60" t="str">
        <f t="shared" si="20"/>
        <v xml:space="preserve"> </v>
      </c>
      <c r="W36">
        <f t="shared" si="21"/>
        <v>480</v>
      </c>
      <c r="X36">
        <f t="shared" si="22"/>
        <v>0</v>
      </c>
      <c r="Y36">
        <f t="shared" si="23"/>
        <v>480</v>
      </c>
      <c r="AD36" s="158">
        <f t="shared" si="26"/>
        <v>8</v>
      </c>
      <c r="AE36" s="158">
        <f t="shared" si="27"/>
        <v>0</v>
      </c>
      <c r="AF36" s="64">
        <f t="shared" si="28"/>
        <v>8</v>
      </c>
      <c r="AG36" s="169">
        <f t="shared" si="29"/>
        <v>16</v>
      </c>
      <c r="AH36" s="169">
        <f t="shared" si="30"/>
        <v>0</v>
      </c>
      <c r="AI36" s="64">
        <f t="shared" si="31"/>
        <v>16</v>
      </c>
      <c r="AJ36" s="169">
        <f t="shared" si="32"/>
        <v>8</v>
      </c>
      <c r="AK36" s="169">
        <f t="shared" si="34"/>
        <v>0</v>
      </c>
      <c r="AL36" s="64">
        <f t="shared" si="33"/>
        <v>8</v>
      </c>
    </row>
    <row r="37" spans="1:38" ht="15.75" x14ac:dyDescent="0.25">
      <c r="A37" s="2">
        <f t="shared" si="24"/>
        <v>46080</v>
      </c>
      <c r="B37" s="2">
        <f t="shared" si="16"/>
        <v>84</v>
      </c>
      <c r="C37" s="54" t="str">
        <f t="shared" si="0"/>
        <v>27.2. piątek</v>
      </c>
      <c r="D37" s="159"/>
      <c r="E37" s="117" t="str">
        <f t="shared" si="25"/>
        <v xml:space="preserve"> </v>
      </c>
      <c r="F37" s="115">
        <v>8</v>
      </c>
      <c r="G37" s="115">
        <v>16</v>
      </c>
      <c r="H37" s="55">
        <f t="shared" si="1"/>
        <v>8</v>
      </c>
      <c r="I37" s="55">
        <f t="shared" si="2"/>
        <v>0</v>
      </c>
      <c r="J37" s="56">
        <f t="shared" si="3"/>
        <v>0</v>
      </c>
      <c r="K37" s="57">
        <f t="shared" si="35"/>
        <v>1</v>
      </c>
      <c r="L37" s="57">
        <f t="shared" si="17"/>
        <v>0</v>
      </c>
      <c r="M37" s="58" t="str">
        <f t="shared" si="5"/>
        <v>przerwa1</v>
      </c>
      <c r="N37" s="57">
        <f t="shared" si="18"/>
        <v>1</v>
      </c>
      <c r="O37" s="138"/>
      <c r="P37" s="149"/>
      <c r="Q37" s="138"/>
      <c r="R37" s="8"/>
      <c r="S37" s="60">
        <f t="shared" si="6"/>
        <v>0</v>
      </c>
      <c r="T37" s="60" t="str">
        <f t="shared" si="19"/>
        <v xml:space="preserve"> </v>
      </c>
      <c r="U37" s="60" t="str">
        <f t="shared" si="20"/>
        <v xml:space="preserve"> </v>
      </c>
      <c r="W37">
        <f t="shared" si="21"/>
        <v>480</v>
      </c>
      <c r="X37">
        <f t="shared" si="22"/>
        <v>0</v>
      </c>
      <c r="Y37">
        <f t="shared" si="23"/>
        <v>480</v>
      </c>
      <c r="AD37" s="158">
        <f t="shared" si="26"/>
        <v>8</v>
      </c>
      <c r="AE37" s="158">
        <f t="shared" si="27"/>
        <v>0</v>
      </c>
      <c r="AF37" s="64">
        <f t="shared" si="28"/>
        <v>8</v>
      </c>
      <c r="AG37" s="169">
        <f t="shared" si="29"/>
        <v>16</v>
      </c>
      <c r="AH37" s="169">
        <f t="shared" si="30"/>
        <v>0</v>
      </c>
      <c r="AI37" s="64">
        <f t="shared" si="31"/>
        <v>16</v>
      </c>
      <c r="AJ37" s="169">
        <f t="shared" si="32"/>
        <v>8</v>
      </c>
      <c r="AK37" s="169">
        <f t="shared" si="34"/>
        <v>0</v>
      </c>
      <c r="AL37" s="64">
        <f t="shared" si="33"/>
        <v>8</v>
      </c>
    </row>
    <row r="38" spans="1:38" ht="15.75" x14ac:dyDescent="0.25">
      <c r="A38" s="2">
        <f t="shared" si="24"/>
        <v>46081</v>
      </c>
      <c r="B38" s="2">
        <f t="shared" si="16"/>
        <v>84</v>
      </c>
      <c r="C38" s="54" t="str">
        <f t="shared" si="0"/>
        <v>28.2. sobota</v>
      </c>
      <c r="D38" s="159" t="s">
        <v>47</v>
      </c>
      <c r="E38" s="117" t="str">
        <f t="shared" si="25"/>
        <v>wolne</v>
      </c>
      <c r="F38" s="115"/>
      <c r="G38" s="115"/>
      <c r="H38" s="55" t="str">
        <f t="shared" si="1"/>
        <v/>
      </c>
      <c r="I38" s="55" t="str">
        <f t="shared" si="2"/>
        <v/>
      </c>
      <c r="J38" s="56" t="str">
        <f t="shared" si="3"/>
        <v/>
      </c>
      <c r="K38" s="57">
        <f t="shared" si="35"/>
        <v>0</v>
      </c>
      <c r="L38" s="57">
        <f t="shared" si="17"/>
        <v>0</v>
      </c>
      <c r="M38" s="58" t="str">
        <f t="shared" si="5"/>
        <v>przerwa1</v>
      </c>
      <c r="N38" s="57">
        <f t="shared" si="18"/>
        <v>0</v>
      </c>
      <c r="O38" s="138"/>
      <c r="P38" s="149"/>
      <c r="Q38" s="138"/>
      <c r="R38" s="8"/>
      <c r="S38" s="60" t="str">
        <f t="shared" si="6"/>
        <v xml:space="preserve"> </v>
      </c>
      <c r="T38" s="60" t="str">
        <f t="shared" si="19"/>
        <v xml:space="preserve"> </v>
      </c>
      <c r="U38" s="60" t="str">
        <f t="shared" si="20"/>
        <v xml:space="preserve"> </v>
      </c>
      <c r="W38">
        <f t="shared" si="21"/>
        <v>0</v>
      </c>
      <c r="X38">
        <f t="shared" si="22"/>
        <v>0</v>
      </c>
      <c r="Y38">
        <f t="shared" si="23"/>
        <v>0</v>
      </c>
      <c r="AD38" s="158">
        <f t="shared" si="26"/>
        <v>0</v>
      </c>
      <c r="AE38" s="158">
        <f t="shared" si="27"/>
        <v>0</v>
      </c>
      <c r="AF38" s="64" t="str">
        <f t="shared" si="28"/>
        <v xml:space="preserve"> </v>
      </c>
      <c r="AG38" s="169">
        <f t="shared" si="29"/>
        <v>0</v>
      </c>
      <c r="AH38" s="169">
        <f t="shared" si="30"/>
        <v>0</v>
      </c>
      <c r="AI38" s="64" t="str">
        <f t="shared" si="31"/>
        <v xml:space="preserve"> </v>
      </c>
      <c r="AJ38" s="169" t="str">
        <f t="shared" si="32"/>
        <v/>
      </c>
      <c r="AK38" s="169" t="str">
        <f t="shared" si="34"/>
        <v/>
      </c>
      <c r="AL38" s="64" t="str">
        <f t="shared" si="33"/>
        <v xml:space="preserve"> </v>
      </c>
    </row>
    <row r="39" spans="1:38" ht="15.75" x14ac:dyDescent="0.25">
      <c r="A39" s="2">
        <f t="shared" si="24"/>
        <v>46082</v>
      </c>
      <c r="B39" s="2">
        <f t="shared" si="16"/>
        <v>84</v>
      </c>
      <c r="C39" s="54"/>
      <c r="D39" s="159"/>
      <c r="E39" s="117"/>
      <c r="F39" s="115">
        <v>8</v>
      </c>
      <c r="G39" s="115">
        <v>16</v>
      </c>
      <c r="H39" s="55">
        <f t="shared" ref="H39" si="36">IF(D39="d",(((((TRUNC(G39)-1)-TRUNC(F39))*60)+((G39-TRUNC(G39))*100)+(60-(F39-TRUNC(F39))*100))-(IF(M39&lt;przerwa1,pause,przerwa1)))/60,IF((OR((B39=83),(D39="u"),(D39="uz"),(D39="a"),(D39="c"),(D39="s"),(AND(D39="w",F39="")),(D39="oc"),(D39="um"),(D39="op"),(D39="oc"))),"",IF(OR(D39="g",AND(D39="gp",F39="")),0,TRUNC((((TRUNC(G39)*60+(G39-(TRUNC(G39)))*100)-(TRUNC(F39)*60+(F39-TRUNC(F39))*100))-(IF(M39&lt;przerwa1,pause,przerwa1)))/60)+(((((TRUNC(G39)*60+(G39-(TRUNC(G39)))*100)-(TRUNC(F39)*60+(F39-TRUNC(F39))*100))-(IF(M39&lt;przerwa1,pause,przerwa1)))/60)-TRUNC(((((TRUNC(G39)*60+(G39-(TRUNC(G39)))*100)-(TRUNC(F39)*60+(F39-TRUNC(F39))*100))-(IF(M39&lt;przerwa1,pause,przerwa1)))/60)))*60/100)))</f>
        <v>8</v>
      </c>
      <c r="I39" s="55">
        <f t="shared" ref="I39" si="37">IF(AND(D39="gp",F39=""),-(TRUNC(godz/1.5)+((godz/1.5)-TRUNC(godz/1.5))*60/100),IF(AND(D39="gp",F39&lt;&gt;"",G39&lt;&gt;""),ROUND(TRUNC((TRUNC(ROUND((TRUNC(H39-godz)+(((TRUNC(H39)*60)+(H39-TRUNC(H39))*100)-(godz*60)-(TRUNC(H39-godz)*60))/100),2))+((ROUND((TRUNC(H39-godz)+(((TRUNC(H39)*60)+(H39-TRUNC(H39))*100)-(godz*60)-(TRUNC(H39-godz)*60))/100),2)-TRUNC(ROUND((TRUNC(H39-godz)+(((TRUNC(H39)*60)+(H39-TRUNC(H39))*100)-(godz*60)-(TRUNC(H39-godz)*60))/100),2)))*100/60))/1.5)+(((TRUNC(ROUND((TRUNC(H39-godz)+(((TRUNC(H39)*60)+(H39-TRUNC(H39))*100)-(godz*60)-(TRUNC(H39-godz)*60))/100),2))+((ROUND((TRUNC(H39-godz)+(((TRUNC(H39)*60)+(H39-TRUNC(H39))*100)-(godz*60)-(TRUNC(H39-godz)*60))/100),2)-TRUNC(ROUND((TRUNC(H39-godz)+(((TRUNC(H39)*60)+(H39-TRUNC(H39))*100)-(godz*60)-(TRUNC(H39-godz)*60))/100),2)))*100/60))/1.5)-TRUNC((TRUNC(ROUND((TRUNC(H39-godz)+(((TRUNC(H39)*60)+(H39-TRUNC(H39))*100)-(godz*60)-(TRUNC(H39-godz)*60))/100),2))+((ROUND((TRUNC(H39-godz)+(((TRUNC(H39)*60)+(H39-TRUNC(H39))*100)-(godz*60)-(TRUNC(H39-godz)*60))/100),2)-TRUNC(ROUND((TRUNC(H39-godz)+(((TRUNC(H39)*60)+(H39-TRUNC(H39))*100)-(godz*60)-(TRUNC(H39-godz)*60))/100),2)))*100/60))/1.5))*60/100,2),IF(OR((B39=83),(D39="w"),(D39="s"),(D39="c"),(D39="a"),(D39="oc"),(D39="um"),(D39="op"),(D39="uz"),(D39="u")),"",ROUND((TRUNC(H39-godz)+(((TRUNC(H39)*60)+(H39-TRUNC(H39))*100)-(godz*60)-(TRUNC(H39-godz)*60))/100),2))))</f>
        <v>0</v>
      </c>
      <c r="J39" s="56">
        <f t="shared" ref="J39" si="38">IF(D39="gp",(TRUNC(I39)*60+(I39-TRUNC(I39))*100),IF(OR((I39=""),(B39=83)),"",IF((I39=0),0,TRUNC(H39-godz)*60+(((TRUNC(H39)*60)+(H39-TRUNC(H39))*100)-(godz*60)-(TRUNC(H39-godz)*60)))))</f>
        <v>0</v>
      </c>
      <c r="K39" s="57">
        <f t="shared" si="35"/>
        <v>1</v>
      </c>
      <c r="L39" s="57">
        <f t="shared" si="17"/>
        <v>0</v>
      </c>
      <c r="M39" s="58" t="str">
        <f t="shared" si="5"/>
        <v>przerwa1</v>
      </c>
      <c r="N39" s="57">
        <f t="shared" si="18"/>
        <v>1</v>
      </c>
      <c r="O39" s="138"/>
      <c r="P39" s="149"/>
      <c r="Q39" s="138"/>
      <c r="R39" s="8"/>
      <c r="S39" s="60">
        <f t="shared" si="6"/>
        <v>0</v>
      </c>
      <c r="T39" s="60" t="str">
        <f t="shared" si="19"/>
        <v xml:space="preserve"> </v>
      </c>
      <c r="U39" s="60" t="str">
        <f t="shared" si="20"/>
        <v xml:space="preserve"> </v>
      </c>
      <c r="W39">
        <f t="shared" si="21"/>
        <v>480</v>
      </c>
      <c r="X39">
        <f t="shared" si="22"/>
        <v>0</v>
      </c>
      <c r="Y39">
        <f t="shared" si="23"/>
        <v>480</v>
      </c>
      <c r="AD39" s="158">
        <f t="shared" si="26"/>
        <v>8</v>
      </c>
      <c r="AE39" s="158">
        <f t="shared" si="27"/>
        <v>0</v>
      </c>
      <c r="AF39" s="64">
        <f t="shared" si="28"/>
        <v>8</v>
      </c>
      <c r="AG39" s="169">
        <f t="shared" si="29"/>
        <v>16</v>
      </c>
      <c r="AH39" s="169">
        <f t="shared" si="30"/>
        <v>0</v>
      </c>
      <c r="AI39" s="64">
        <f t="shared" si="31"/>
        <v>16</v>
      </c>
      <c r="AJ39" s="169">
        <f t="shared" si="32"/>
        <v>8</v>
      </c>
      <c r="AK39" s="169">
        <f t="shared" si="34"/>
        <v>0</v>
      </c>
      <c r="AL39" s="64">
        <f t="shared" si="33"/>
        <v>8</v>
      </c>
    </row>
    <row r="40" spans="1:38" ht="15.75" x14ac:dyDescent="0.25">
      <c r="A40" s="2">
        <f t="shared" si="24"/>
        <v>46083</v>
      </c>
      <c r="B40" s="2">
        <f t="shared" si="16"/>
        <v>84</v>
      </c>
      <c r="C40" s="54"/>
      <c r="D40" s="159"/>
      <c r="E40" s="117"/>
      <c r="F40" s="115"/>
      <c r="G40" s="115"/>
      <c r="H40" s="55"/>
      <c r="I40" s="55"/>
      <c r="J40" s="56"/>
      <c r="K40" s="57"/>
      <c r="L40" s="57"/>
      <c r="M40" s="61"/>
      <c r="N40" s="57"/>
      <c r="O40" s="59"/>
      <c r="P40" s="149"/>
      <c r="Q40" s="138"/>
      <c r="R40" s="8"/>
      <c r="S40" s="60" t="str">
        <f t="shared" si="6"/>
        <v xml:space="preserve"> </v>
      </c>
      <c r="T40" s="60" t="str">
        <f t="shared" si="19"/>
        <v xml:space="preserve"> </v>
      </c>
      <c r="U40" s="60" t="str">
        <f t="shared" si="20"/>
        <v xml:space="preserve"> </v>
      </c>
      <c r="W40">
        <f t="shared" si="21"/>
        <v>0</v>
      </c>
      <c r="X40">
        <f t="shared" si="22"/>
        <v>0</v>
      </c>
      <c r="Y40">
        <f t="shared" si="23"/>
        <v>0</v>
      </c>
      <c r="AD40" s="158">
        <f t="shared" si="26"/>
        <v>0</v>
      </c>
      <c r="AE40" s="158">
        <f t="shared" si="27"/>
        <v>0</v>
      </c>
      <c r="AF40" s="64" t="str">
        <f t="shared" si="28"/>
        <v xml:space="preserve"> </v>
      </c>
      <c r="AG40" s="169">
        <f t="shared" si="29"/>
        <v>0</v>
      </c>
      <c r="AH40" s="169">
        <f t="shared" si="30"/>
        <v>0</v>
      </c>
      <c r="AI40" s="64" t="str">
        <f t="shared" si="31"/>
        <v xml:space="preserve"> </v>
      </c>
      <c r="AJ40" s="169" t="str">
        <f t="shared" si="32"/>
        <v/>
      </c>
      <c r="AK40" s="169" t="str">
        <f t="shared" si="34"/>
        <v/>
      </c>
      <c r="AL40" s="64" t="str">
        <f t="shared" si="33"/>
        <v xml:space="preserve"> </v>
      </c>
    </row>
    <row r="41" spans="1:38" ht="15.75" x14ac:dyDescent="0.25">
      <c r="A41" s="2">
        <f t="shared" si="24"/>
        <v>46084</v>
      </c>
      <c r="B41" s="2">
        <f t="shared" si="16"/>
        <v>84</v>
      </c>
      <c r="C41" s="54"/>
      <c r="D41" s="159"/>
      <c r="E41" s="117"/>
      <c r="F41" s="115"/>
      <c r="G41" s="115"/>
      <c r="H41" s="55"/>
      <c r="I41" s="55"/>
      <c r="J41" s="56" t="str">
        <f>IF(OR((I41=""),(B41=83)),"",IF((I41=0),0,TRUNC(H41-godz)*60+(((TRUNC(H41)*60)+(H41-TRUNC(H41))*100)-(godz*60)-(TRUNC(H41-godz)*60))))</f>
        <v/>
      </c>
      <c r="K41" s="57"/>
      <c r="L41" s="57"/>
      <c r="M41" s="61"/>
      <c r="N41" s="57"/>
      <c r="O41" s="59"/>
      <c r="P41" s="149"/>
      <c r="Q41" s="59"/>
      <c r="R41" s="8"/>
      <c r="S41" s="60" t="str">
        <f t="shared" si="6"/>
        <v xml:space="preserve"> </v>
      </c>
      <c r="T41" s="60" t="str">
        <f t="shared" si="19"/>
        <v xml:space="preserve"> </v>
      </c>
      <c r="U41" s="60" t="str">
        <f t="shared" si="20"/>
        <v xml:space="preserve"> </v>
      </c>
      <c r="W41">
        <f t="shared" si="21"/>
        <v>0</v>
      </c>
      <c r="X41">
        <f t="shared" si="22"/>
        <v>0</v>
      </c>
      <c r="Y41">
        <f t="shared" si="23"/>
        <v>0</v>
      </c>
      <c r="AD41" s="158">
        <f t="shared" si="26"/>
        <v>0</v>
      </c>
      <c r="AE41" s="158">
        <f t="shared" si="27"/>
        <v>0</v>
      </c>
      <c r="AF41" s="64" t="str">
        <f t="shared" si="28"/>
        <v xml:space="preserve"> </v>
      </c>
      <c r="AG41" s="169">
        <f t="shared" si="29"/>
        <v>0</v>
      </c>
      <c r="AH41" s="169">
        <f t="shared" si="30"/>
        <v>0</v>
      </c>
      <c r="AI41" s="64" t="str">
        <f t="shared" si="31"/>
        <v xml:space="preserve"> </v>
      </c>
      <c r="AJ41" s="169" t="str">
        <f t="shared" si="32"/>
        <v/>
      </c>
      <c r="AK41" s="169" t="str">
        <f t="shared" si="34"/>
        <v/>
      </c>
      <c r="AL41" s="64" t="str">
        <f t="shared" si="33"/>
        <v xml:space="preserve"> </v>
      </c>
    </row>
    <row r="42" spans="1:38" ht="15.75" x14ac:dyDescent="0.25">
      <c r="A42" s="1"/>
      <c r="B42" s="1"/>
      <c r="C42" s="62"/>
      <c r="D42" s="116"/>
      <c r="E42" s="117"/>
      <c r="F42" s="116"/>
      <c r="G42" s="116"/>
      <c r="H42" s="55"/>
      <c r="I42" s="55"/>
      <c r="J42" s="59"/>
      <c r="K42" s="57">
        <f t="shared" si="35"/>
        <v>1</v>
      </c>
      <c r="L42" s="57">
        <f>IF(OR((D42="c"),(D42="u")),1,0)</f>
        <v>0</v>
      </c>
      <c r="M42" s="63"/>
      <c r="N42" s="57">
        <f>IF(OR((B42=83),(D42="w"),(D42="g"),(D42="c"),(D42="u")),0,1)</f>
        <v>1</v>
      </c>
      <c r="O42" s="64">
        <f>TRUNC(SUM(O11:O41)/60)+((SUM(O11:O41)/60)-(TRUNC(SUM(O11:O41)/60)))*60/100</f>
        <v>0</v>
      </c>
      <c r="P42" t="s">
        <v>132</v>
      </c>
      <c r="Q42" s="8"/>
      <c r="R42" s="8"/>
      <c r="S42" s="65">
        <f>SUM(S11:S41)</f>
        <v>0</v>
      </c>
      <c r="T42" s="66">
        <f>SUM(T11:T41)</f>
        <v>0</v>
      </c>
      <c r="U42" s="66">
        <f>SUM(U11:U41)</f>
        <v>0</v>
      </c>
    </row>
    <row r="43" spans="1:38" x14ac:dyDescent="0.25">
      <c r="A43" s="1"/>
      <c r="B43" s="1"/>
      <c r="C43" s="67"/>
      <c r="D43" s="21"/>
      <c r="E43" s="21"/>
      <c r="F43" s="21"/>
      <c r="G43" s="21"/>
      <c r="H43" s="21"/>
      <c r="I43" s="68"/>
      <c r="J43" s="68"/>
      <c r="K43" s="69"/>
      <c r="L43" s="69"/>
      <c r="M43" s="69"/>
      <c r="N43" s="70"/>
      <c r="O43" s="144"/>
      <c r="P43" s="8"/>
      <c r="Q43" s="8"/>
      <c r="R43" s="8"/>
      <c r="S43" s="71">
        <f>S42/60</f>
        <v>0</v>
      </c>
      <c r="T43" s="66"/>
      <c r="U43" s="8"/>
    </row>
    <row r="44" spans="1:38" x14ac:dyDescent="0.25">
      <c r="A44" s="1"/>
      <c r="B44" s="1"/>
      <c r="C44" s="67" t="s">
        <v>30</v>
      </c>
      <c r="D44" s="21"/>
      <c r="E44" s="72">
        <f>SUM(K11:K41)</f>
        <v>21</v>
      </c>
      <c r="F44" s="21" t="s">
        <v>31</v>
      </c>
      <c r="G44" s="21"/>
      <c r="H44" s="21"/>
      <c r="I44" s="73" t="s">
        <v>32</v>
      </c>
      <c r="J44" s="72">
        <f>SUM(N11:N41)</f>
        <v>21</v>
      </c>
      <c r="K44" s="74" t="s">
        <v>31</v>
      </c>
      <c r="L44" s="74"/>
      <c r="M44" s="74"/>
      <c r="N44" s="30"/>
      <c r="O44" s="141" t="s">
        <v>31</v>
      </c>
      <c r="P44" s="8"/>
      <c r="W44">
        <f>((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60)</f>
        <v>10080</v>
      </c>
      <c r="X44">
        <f>(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-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100)</f>
        <v>0</v>
      </c>
      <c r="Y44">
        <f>((TRUNC(O42)*60)+(O42-TRUNC(O42))*100)</f>
        <v>0</v>
      </c>
      <c r="Z44">
        <f>W44+X44+Y44</f>
        <v>10080</v>
      </c>
      <c r="AA44">
        <f>Z44/60</f>
        <v>168</v>
      </c>
      <c r="AB44">
        <f>TRUNC(AA44)</f>
        <v>168</v>
      </c>
      <c r="AC44">
        <f>(AA44-AB44)*60/100</f>
        <v>0</v>
      </c>
      <c r="AD44">
        <f>AB44+AC44</f>
        <v>168</v>
      </c>
    </row>
    <row r="45" spans="1:38" x14ac:dyDescent="0.25">
      <c r="A45" s="1"/>
      <c r="B45" s="1"/>
      <c r="C45" s="75" t="s">
        <v>33</v>
      </c>
      <c r="D45" s="21"/>
      <c r="E45" s="76">
        <f>ROUND(SUM(K11:K41)*godz,2)</f>
        <v>168</v>
      </c>
      <c r="F45" s="21" t="s">
        <v>34</v>
      </c>
      <c r="G45" s="21"/>
      <c r="H45" s="21"/>
      <c r="I45" s="73" t="s">
        <v>35</v>
      </c>
      <c r="J45" s="76">
        <f>AB44+AC44</f>
        <v>168</v>
      </c>
      <c r="K45" s="74" t="s">
        <v>34</v>
      </c>
      <c r="L45" s="74"/>
      <c r="M45" s="74"/>
      <c r="N45" s="30"/>
      <c r="O45" s="141" t="s">
        <v>34</v>
      </c>
      <c r="P45" s="8"/>
    </row>
    <row r="46" spans="1:38" x14ac:dyDescent="0.25">
      <c r="A46" s="1"/>
      <c r="B46" s="1"/>
      <c r="C46" s="67"/>
      <c r="D46" s="21"/>
      <c r="E46" s="76"/>
      <c r="F46" s="21"/>
      <c r="G46" s="21"/>
      <c r="H46" s="21"/>
      <c r="I46" s="73"/>
      <c r="J46" s="76"/>
      <c r="K46" s="74"/>
      <c r="L46" s="74"/>
      <c r="M46" s="74"/>
      <c r="N46" s="30"/>
      <c r="O46" s="141"/>
      <c r="P46" s="8"/>
    </row>
    <row r="47" spans="1:38" x14ac:dyDescent="0.25">
      <c r="A47" s="1"/>
      <c r="B47" s="1"/>
      <c r="C47" s="67"/>
      <c r="D47" s="21"/>
      <c r="E47" s="76"/>
      <c r="F47" s="21"/>
      <c r="G47" s="21"/>
      <c r="H47" s="21"/>
      <c r="I47" s="73" t="s">
        <v>36</v>
      </c>
      <c r="J47" s="72">
        <f>SUM(L11:L41)</f>
        <v>0</v>
      </c>
      <c r="K47" s="74" t="s">
        <v>37</v>
      </c>
      <c r="L47" s="74"/>
      <c r="M47" s="74"/>
      <c r="N47" s="30"/>
      <c r="O47" s="141" t="s">
        <v>37</v>
      </c>
      <c r="P47" s="8"/>
    </row>
    <row r="48" spans="1:38" x14ac:dyDescent="0.25">
      <c r="A48" s="1"/>
      <c r="B48" s="1"/>
      <c r="C48" s="67"/>
      <c r="D48" s="21"/>
      <c r="E48" s="21"/>
      <c r="F48" s="21"/>
      <c r="G48" s="21"/>
      <c r="H48" s="21"/>
      <c r="I48" s="73" t="s">
        <v>147</v>
      </c>
      <c r="J48" s="162"/>
      <c r="K48" s="78"/>
      <c r="L48" s="78"/>
      <c r="M48" s="78"/>
      <c r="N48" s="79"/>
      <c r="O48" s="141"/>
      <c r="P48" s="8"/>
    </row>
    <row r="49" spans="3:16" x14ac:dyDescent="0.25">
      <c r="C49" s="80" t="s">
        <v>61</v>
      </c>
      <c r="D49" s="21"/>
      <c r="E49" s="76">
        <f>TRUNC((((TRUNC(J45)*60)+(J45-TRUNC(J45))*100)-E45*60)/60)+((((((TRUNC(J45)*60)+(J45-TRUNC(J45))*100)-E45*60)/60)-TRUNC((((TRUNC(J45)*60)+(J45-TRUNC(J45))*100)-E45*60)/60))*60/100)</f>
        <v>0</v>
      </c>
      <c r="F49" s="21" t="s">
        <v>34</v>
      </c>
      <c r="G49" s="8"/>
      <c r="H49" s="73"/>
      <c r="I49" s="73" t="s">
        <v>148</v>
      </c>
      <c r="J49" s="76">
        <f>TRUNC((((ROUND(J47*godz,2))*60)-(TRUNC(J48)*60+(J48-TRUNC(J48))*100))/60)+((((((ROUND(J47*godz,2))*60)-(TRUNC(J48)*60+(J48-TRUNC(J48))*100))/60)-TRUNC((((ROUND(J47*godz,2))*60)-(TRUNC(J48)*60+(J48-TRUNC(J48))*100))/60))*60/100)</f>
        <v>0</v>
      </c>
      <c r="K49" s="77"/>
      <c r="L49" s="21"/>
      <c r="M49" s="21"/>
      <c r="N49" s="30"/>
      <c r="O49" s="142"/>
      <c r="P49" s="21"/>
    </row>
    <row r="50" spans="3:16" ht="15.75" thickBot="1" x14ac:dyDescent="0.3">
      <c r="C50" s="163" t="s">
        <v>38</v>
      </c>
      <c r="D50" s="164"/>
      <c r="E50" s="165">
        <f>J49</f>
        <v>0</v>
      </c>
      <c r="F50" s="164" t="s">
        <v>34</v>
      </c>
      <c r="G50" s="82"/>
      <c r="H50" s="21"/>
      <c r="I50" s="83"/>
      <c r="J50" s="83"/>
      <c r="K50" s="21"/>
      <c r="L50" s="21"/>
      <c r="M50" s="21"/>
      <c r="N50" s="30"/>
      <c r="O50" s="30"/>
      <c r="P50" s="8"/>
    </row>
    <row r="51" spans="3:16" ht="15.75" thickBot="1" x14ac:dyDescent="0.3">
      <c r="C51" s="166" t="s">
        <v>134</v>
      </c>
      <c r="D51" s="164"/>
      <c r="E51" s="165">
        <f>TRUNC(((TRUNC(J45)*60+(J45-TRUNC(J45))*100)+(TRUNC(J49)*60+(J49-TRUNC(J49))*100))/60)+((((TRUNC(J45)*60+(J45-TRUNC(J45))*100)+(TRUNC(J49)*60+(J49-TRUNC(J49))*100))/60)-TRUNC(((TRUNC(J45)*60+(J45-TRUNC(J45))*100)+(TRUNC(J49)*60+(J49-TRUNC(J49))*100))/60))*60/100</f>
        <v>168</v>
      </c>
      <c r="F51" s="164" t="s">
        <v>34</v>
      </c>
      <c r="G51" s="21"/>
      <c r="H51" s="21"/>
      <c r="I51" s="83" t="s">
        <v>39</v>
      </c>
      <c r="J51" s="84">
        <f>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+(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-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)*60/100)</f>
        <v>0</v>
      </c>
      <c r="K51" s="83" t="s">
        <v>34</v>
      </c>
      <c r="L51" s="83"/>
      <c r="M51" s="85"/>
      <c r="N51" s="30"/>
      <c r="O51" s="143" t="s">
        <v>34</v>
      </c>
      <c r="P51" s="8"/>
    </row>
    <row r="52" spans="3:16" ht="15.75" thickBot="1" x14ac:dyDescent="0.3">
      <c r="C52" s="86"/>
      <c r="D52" s="87"/>
      <c r="E52" s="88" t="s">
        <v>40</v>
      </c>
      <c r="F52" s="89"/>
      <c r="G52" s="87"/>
      <c r="H52" s="87"/>
      <c r="I52" s="88" t="s">
        <v>40</v>
      </c>
      <c r="J52" s="88" t="s">
        <v>41</v>
      </c>
      <c r="K52" s="87"/>
      <c r="L52" s="87"/>
      <c r="M52" s="87"/>
      <c r="N52" s="90"/>
      <c r="O52" s="90"/>
      <c r="P52" s="8"/>
    </row>
    <row r="53" spans="3:16" x14ac:dyDescent="0.25">
      <c r="C53" s="91" t="s">
        <v>42</v>
      </c>
      <c r="D53" s="13"/>
      <c r="E53" s="13"/>
      <c r="F53" s="13"/>
      <c r="G53" s="13"/>
      <c r="H53" s="13"/>
      <c r="I53" s="92"/>
      <c r="J53" s="92"/>
      <c r="K53" s="92"/>
      <c r="L53" s="92"/>
      <c r="M53" s="92"/>
      <c r="N53" s="93"/>
      <c r="O53" s="147"/>
      <c r="P53" s="8"/>
    </row>
    <row r="54" spans="3:16" x14ac:dyDescent="0.25">
      <c r="C54" s="67" t="s">
        <v>43</v>
      </c>
      <c r="D54" s="21"/>
      <c r="E54" s="94">
        <f>'Januar 2026'!J54</f>
        <v>6.56</v>
      </c>
      <c r="F54" s="83" t="s">
        <v>34</v>
      </c>
      <c r="G54" s="21"/>
      <c r="H54" s="21"/>
      <c r="I54" s="95" t="s">
        <v>44</v>
      </c>
      <c r="J54" s="98">
        <f>TRUNC(SUM(((TRUNC(J51)*60)+((J51-TRUNC(J51))*100)),(TRUNC(E54)*60)+((E54-TRUNC(E54))*100))/60)+((SUM(((TRUNC(J51)*60)+((J51-TRUNC(J51))*100)),(TRUNC(E54)*60)+((E54-TRUNC(E54))*100))/60)-TRUNC((SUM(((TRUNC(J51)*60)+((J51-TRUNC(J51))*100)),(TRUNC(E54)*60)+((E54-TRUNC(E54))*100))/60)))*60/100</f>
        <v>6.56</v>
      </c>
      <c r="K54" s="96" t="s">
        <v>34</v>
      </c>
      <c r="L54" s="81"/>
      <c r="M54" s="81"/>
      <c r="N54" s="30"/>
      <c r="O54" s="145" t="s">
        <v>34</v>
      </c>
      <c r="P54" s="8"/>
    </row>
    <row r="55" spans="3:16" ht="15.75" thickBot="1" x14ac:dyDescent="0.3">
      <c r="C55" s="86"/>
      <c r="D55" s="87"/>
      <c r="E55" s="87"/>
      <c r="F55" s="87"/>
      <c r="G55" s="87"/>
      <c r="H55" s="87"/>
      <c r="I55" s="97"/>
      <c r="J55" s="97"/>
      <c r="K55" s="97"/>
      <c r="L55" s="97"/>
      <c r="M55" s="97"/>
      <c r="N55" s="90"/>
      <c r="O55" s="146"/>
      <c r="P55" s="8"/>
    </row>
    <row r="56" spans="3:16" x14ac:dyDescent="0.25">
      <c r="C56" s="10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</row>
    <row r="57" spans="3:16" x14ac:dyDescent="0.25">
      <c r="C57" s="6">
        <f>SUM(K11:K41)</f>
        <v>21</v>
      </c>
    </row>
    <row r="58" spans="3:16" x14ac:dyDescent="0.25">
      <c r="E58" s="161"/>
    </row>
  </sheetData>
  <sheetProtection selectLockedCells="1"/>
  <mergeCells count="3">
    <mergeCell ref="E2:F2"/>
    <mergeCell ref="E3:F3"/>
    <mergeCell ref="E4:F4"/>
  </mergeCells>
  <pageMargins left="0.7" right="0.7" top="0.75" bottom="0.75" header="0.3" footer="0.3"/>
  <pageSetup paperSize="9"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Dane!$G$2:$G$1514</xm:f>
          </x14:formula1>
          <xm:sqref>P40:P41</xm:sqref>
        </x14:dataValidation>
        <x14:dataValidation type="list" allowBlank="1" showInputMessage="1" showErrorMessage="1">
          <x14:formula1>
            <xm:f>Dane!$A$1:$A$12</xm:f>
          </x14:formula1>
          <xm:sqref>D11:D41</xm:sqref>
        </x14:dataValidation>
        <x14:dataValidation type="list" allowBlank="1" showInputMessage="1" showErrorMessage="1">
          <x14:formula1>
            <xm:f>Dane!$G$2:$G$16</xm:f>
          </x14:formula1>
          <xm:sqref>P11:P39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AL58"/>
  <sheetViews>
    <sheetView topLeftCell="C16" zoomScaleNormal="100" workbookViewId="0">
      <selection activeCell="F21" sqref="F21"/>
    </sheetView>
  </sheetViews>
  <sheetFormatPr defaultColWidth="9.140625" defaultRowHeight="15" x14ac:dyDescent="0.25"/>
  <cols>
    <col min="1" max="1" width="3.42578125" hidden="1" customWidth="1"/>
    <col min="2" max="2" width="3" hidden="1" customWidth="1"/>
    <col min="3" max="3" width="19.85546875" customWidth="1"/>
    <col min="4" max="4" width="3.7109375" customWidth="1"/>
    <col min="5" max="5" width="14.28515625" bestFit="1" customWidth="1"/>
    <col min="7" max="7" width="9.5703125" bestFit="1" customWidth="1"/>
    <col min="8" max="8" width="7.42578125" customWidth="1"/>
    <col min="9" max="9" width="15" customWidth="1"/>
    <col min="10" max="10" width="10" bestFit="1" customWidth="1"/>
    <col min="11" max="11" width="12.28515625" hidden="1" customWidth="1"/>
    <col min="12" max="12" width="12" hidden="1" customWidth="1"/>
    <col min="13" max="13" width="10" hidden="1" customWidth="1"/>
    <col min="14" max="14" width="13.28515625" hidden="1" customWidth="1"/>
    <col min="15" max="15" width="14.7109375" customWidth="1"/>
    <col min="17" max="17" width="25.140625" customWidth="1"/>
    <col min="19" max="19" width="9.140625" hidden="1" customWidth="1"/>
    <col min="20" max="20" width="14.28515625" customWidth="1"/>
    <col min="21" max="21" width="14.85546875" customWidth="1"/>
    <col min="23" max="31" width="9.140625" hidden="1" customWidth="1"/>
    <col min="32" max="32" width="16.140625" bestFit="1" customWidth="1"/>
    <col min="33" max="34" width="0" hidden="1" customWidth="1"/>
    <col min="35" max="35" width="18.28515625" bestFit="1" customWidth="1"/>
    <col min="36" max="37" width="9.140625" hidden="1" customWidth="1"/>
    <col min="38" max="38" width="13.140625" bestFit="1" customWidth="1"/>
  </cols>
  <sheetData>
    <row r="1" spans="1:38" ht="18.75" thickBot="1" x14ac:dyDescent="0.3">
      <c r="A1" s="5" t="s">
        <v>48</v>
      </c>
      <c r="B1" s="1"/>
      <c r="C1" s="103" t="s">
        <v>0</v>
      </c>
      <c r="D1" s="104">
        <v>3</v>
      </c>
      <c r="E1" s="102"/>
      <c r="F1" s="102"/>
      <c r="G1" s="103" t="s">
        <v>1</v>
      </c>
      <c r="H1" s="105" t="str">
        <f>'Januar 2026'!rok</f>
        <v>2026</v>
      </c>
      <c r="I1" s="106" t="s">
        <v>2</v>
      </c>
      <c r="J1" s="107">
        <v>8</v>
      </c>
      <c r="K1" s="108"/>
      <c r="L1" s="109"/>
      <c r="M1" s="109"/>
      <c r="N1" s="110"/>
      <c r="O1" s="8"/>
      <c r="P1" s="8"/>
      <c r="Q1" s="9" t="str">
        <f>Dane!A2</f>
        <v>w</v>
      </c>
      <c r="R1" s="10" t="str">
        <f>Dane!B2</f>
        <v>dzień wolny ustawowo</v>
      </c>
      <c r="S1" s="8"/>
      <c r="T1" s="8"/>
      <c r="U1" s="123" t="str">
        <f>Dane!A9</f>
        <v>oc</v>
      </c>
      <c r="V1" s="8" t="str">
        <f>Dane!B9</f>
        <v>opieka nad chorym dzieckiem</v>
      </c>
    </row>
    <row r="2" spans="1:38" x14ac:dyDescent="0.25">
      <c r="A2" s="2"/>
      <c r="B2" s="1"/>
      <c r="C2" s="11"/>
      <c r="D2" s="11" t="s">
        <v>4</v>
      </c>
      <c r="E2" s="175"/>
      <c r="F2" s="176"/>
      <c r="G2" s="16"/>
      <c r="H2" s="17"/>
      <c r="I2" s="28" t="s">
        <v>5</v>
      </c>
      <c r="J2" s="101">
        <v>40</v>
      </c>
      <c r="K2" s="12" t="s">
        <v>6</v>
      </c>
      <c r="L2" s="13"/>
      <c r="M2" s="13"/>
      <c r="N2" s="14"/>
      <c r="O2" s="12" t="s">
        <v>6</v>
      </c>
      <c r="P2" s="8"/>
      <c r="Q2" s="9" t="str">
        <f>Dane!A3</f>
        <v>u</v>
      </c>
      <c r="R2" s="10" t="str">
        <f>Dane!B3</f>
        <v>urlop</v>
      </c>
      <c r="S2" s="8"/>
      <c r="T2" s="8"/>
      <c r="U2" s="122" t="str">
        <f>Dane!A10</f>
        <v>um</v>
      </c>
      <c r="V2" s="8" t="str">
        <f>Dane!B10</f>
        <v>urlop macierzyński</v>
      </c>
    </row>
    <row r="3" spans="1:38" x14ac:dyDescent="0.25">
      <c r="A3" s="1"/>
      <c r="B3" s="1"/>
      <c r="C3" s="15"/>
      <c r="D3" s="15" t="s">
        <v>46</v>
      </c>
      <c r="E3" s="175"/>
      <c r="F3" s="176"/>
      <c r="G3" s="16"/>
      <c r="H3" s="17"/>
      <c r="I3" s="18"/>
      <c r="J3" s="19"/>
      <c r="K3" s="20"/>
      <c r="L3" s="21"/>
      <c r="M3" s="21"/>
      <c r="N3" s="22"/>
      <c r="O3" s="20"/>
      <c r="P3" s="8"/>
      <c r="Q3" s="9" t="str">
        <f>Dane!A4</f>
        <v>c</v>
      </c>
      <c r="R3" s="10" t="str">
        <f>Dane!B4</f>
        <v>choroba</v>
      </c>
      <c r="S3" s="8"/>
      <c r="T3" s="8"/>
      <c r="U3" s="122" t="str">
        <f>Dane!A11</f>
        <v>uz</v>
      </c>
      <c r="V3" s="8" t="str">
        <f>Dane!B11</f>
        <v>urlop zaplanowany</v>
      </c>
    </row>
    <row r="4" spans="1:38" ht="15.75" thickBot="1" x14ac:dyDescent="0.3">
      <c r="A4" s="3"/>
      <c r="B4" s="1"/>
      <c r="C4" s="15"/>
      <c r="D4" s="23" t="s">
        <v>11</v>
      </c>
      <c r="E4" s="175"/>
      <c r="F4" s="176"/>
      <c r="G4" s="16"/>
      <c r="H4" s="17"/>
      <c r="I4" s="18"/>
      <c r="J4" s="19"/>
      <c r="K4" s="20"/>
      <c r="L4" s="21"/>
      <c r="M4" s="21"/>
      <c r="N4" s="22"/>
      <c r="O4" s="20"/>
      <c r="P4" s="8"/>
      <c r="Q4" s="9" t="str">
        <f>Dane!A5</f>
        <v>g</v>
      </c>
      <c r="R4" s="10" t="str">
        <f>Dane!B5</f>
        <v xml:space="preserve">godz.(rządanie pracownika) </v>
      </c>
      <c r="S4" s="8"/>
      <c r="T4" s="8"/>
      <c r="U4" s="122" t="str">
        <f>Dane!A12</f>
        <v>gp</v>
      </c>
      <c r="V4" t="str">
        <f>Dane!B12</f>
        <v xml:space="preserve">godz.(rządanie pracodawcy) </v>
      </c>
    </row>
    <row r="5" spans="1:38" x14ac:dyDescent="0.25">
      <c r="A5" s="3"/>
      <c r="B5" s="1"/>
      <c r="C5" s="15"/>
      <c r="D5" s="24"/>
      <c r="E5" s="25"/>
      <c r="F5" s="26"/>
      <c r="G5" s="27"/>
      <c r="H5" s="17"/>
      <c r="I5" s="28" t="s">
        <v>12</v>
      </c>
      <c r="J5" s="111">
        <v>0</v>
      </c>
      <c r="K5" s="29" t="s">
        <v>13</v>
      </c>
      <c r="L5" s="21"/>
      <c r="M5" s="21"/>
      <c r="N5" s="30"/>
      <c r="O5" s="29" t="s">
        <v>13</v>
      </c>
      <c r="P5" s="8"/>
      <c r="Q5" s="9" t="str">
        <f>Dane!A6</f>
        <v>s</v>
      </c>
      <c r="R5" s="10" t="str">
        <f>Dane!B6</f>
        <v>urlop specjalny/okolicznościow</v>
      </c>
      <c r="S5" s="8"/>
      <c r="T5" s="8"/>
      <c r="U5" s="9"/>
      <c r="AF5" s="170"/>
    </row>
    <row r="6" spans="1:38" x14ac:dyDescent="0.25">
      <c r="A6" s="3"/>
      <c r="B6" s="1"/>
      <c r="C6" s="15"/>
      <c r="D6" s="23"/>
      <c r="E6" s="31"/>
      <c r="F6" s="32"/>
      <c r="G6" s="33"/>
      <c r="H6" s="17"/>
      <c r="I6" s="21"/>
      <c r="J6" s="112">
        <v>0</v>
      </c>
      <c r="K6" s="29" t="s">
        <v>16</v>
      </c>
      <c r="L6" s="21"/>
      <c r="M6" s="21"/>
      <c r="N6" s="30"/>
      <c r="O6" s="29" t="s">
        <v>16</v>
      </c>
      <c r="P6" s="8"/>
      <c r="Q6" s="9" t="str">
        <f>Dane!A7</f>
        <v>a</v>
      </c>
      <c r="R6" s="10" t="str">
        <f>Dane!B7</f>
        <v>nieobecny</v>
      </c>
      <c r="S6" s="8"/>
      <c r="T6" s="8"/>
      <c r="U6" s="8"/>
      <c r="AF6" s="170"/>
    </row>
    <row r="7" spans="1:38" ht="15.75" thickBot="1" x14ac:dyDescent="0.3">
      <c r="A7" s="1"/>
      <c r="B7" s="1"/>
      <c r="C7" s="34"/>
      <c r="D7" s="35"/>
      <c r="E7" s="35"/>
      <c r="F7" s="35"/>
      <c r="G7" s="35"/>
      <c r="H7" s="17"/>
      <c r="I7" s="28" t="s">
        <v>17</v>
      </c>
      <c r="J7" s="113">
        <v>8</v>
      </c>
      <c r="K7" s="20" t="s">
        <v>18</v>
      </c>
      <c r="L7" s="21"/>
      <c r="M7" s="21"/>
      <c r="N7" s="30"/>
      <c r="O7" s="20" t="s">
        <v>18</v>
      </c>
      <c r="P7" s="8"/>
      <c r="Q7" s="9" t="str">
        <f>Dane!A8</f>
        <v>op</v>
      </c>
      <c r="R7" s="10" t="str">
        <f>Dane!B8</f>
        <v>opieka nad zdrowym dzieckiem</v>
      </c>
      <c r="S7" s="8"/>
      <c r="T7" s="8"/>
      <c r="U7" s="8"/>
      <c r="AF7" s="170"/>
    </row>
    <row r="8" spans="1:38" ht="23.25" x14ac:dyDescent="0.35">
      <c r="A8" s="2"/>
      <c r="B8" s="2"/>
      <c r="C8" s="99" t="s">
        <v>45</v>
      </c>
      <c r="D8" s="7"/>
      <c r="E8" s="7"/>
      <c r="F8" s="100" t="str">
        <f>TEXT(DATE(H1,D1,1),"MMMM rrrr")</f>
        <v>marzec 2026</v>
      </c>
      <c r="G8" s="36"/>
      <c r="H8" s="37"/>
      <c r="I8" s="38"/>
      <c r="J8" s="39"/>
      <c r="K8" s="39"/>
      <c r="L8" s="39"/>
      <c r="M8" s="39"/>
      <c r="N8" s="40"/>
      <c r="O8" s="41"/>
      <c r="P8" s="42"/>
      <c r="Q8" s="41"/>
      <c r="R8" s="42"/>
      <c r="S8" s="41"/>
      <c r="T8" s="41"/>
      <c r="U8" s="42"/>
      <c r="AF8" s="170"/>
    </row>
    <row r="9" spans="1:38" ht="15.75" thickBot="1" x14ac:dyDescent="0.3">
      <c r="A9" s="2"/>
      <c r="B9" s="2"/>
      <c r="C9" s="43"/>
      <c r="D9" s="44" t="s">
        <v>21</v>
      </c>
      <c r="E9" s="45" t="str">
        <f>TEXT(F9,"DDDD ")</f>
        <v xml:space="preserve">niedziela </v>
      </c>
      <c r="F9" s="45">
        <f>DATE(H1,D1,1)</f>
        <v>46082</v>
      </c>
      <c r="G9" s="44" t="s">
        <v>22</v>
      </c>
      <c r="H9" s="46" t="str">
        <f>TEXT(I9,"DDDD ")</f>
        <v xml:space="preserve">wtorek </v>
      </c>
      <c r="I9" s="45">
        <f>DATE(YEAR(F9),MONTH(F9+31),DAY(F9))-1</f>
        <v>46112</v>
      </c>
      <c r="J9" s="47"/>
      <c r="K9" s="47"/>
      <c r="L9" s="47"/>
      <c r="M9" s="47"/>
      <c r="N9" s="30"/>
      <c r="O9" s="48"/>
      <c r="P9" s="49"/>
      <c r="Q9" s="48"/>
      <c r="R9" s="49"/>
      <c r="S9" s="48"/>
      <c r="T9" s="48"/>
      <c r="U9" s="49"/>
      <c r="AF9" s="170"/>
    </row>
    <row r="10" spans="1:38" ht="52.5" thickBot="1" x14ac:dyDescent="0.3">
      <c r="A10" s="4"/>
      <c r="B10" s="4"/>
      <c r="C10" s="50" t="s">
        <v>23</v>
      </c>
      <c r="D10" s="51"/>
      <c r="E10" s="51" t="s">
        <v>24</v>
      </c>
      <c r="F10" s="51" t="s">
        <v>25</v>
      </c>
      <c r="G10" s="51" t="s">
        <v>26</v>
      </c>
      <c r="H10" s="51" t="s">
        <v>27</v>
      </c>
      <c r="I10" s="51" t="s">
        <v>137</v>
      </c>
      <c r="J10" s="51" t="s">
        <v>28</v>
      </c>
      <c r="K10" s="51"/>
      <c r="L10" s="51" t="s">
        <v>100</v>
      </c>
      <c r="M10" s="51"/>
      <c r="N10" s="52"/>
      <c r="O10" s="51" t="s">
        <v>29</v>
      </c>
      <c r="P10" s="51" t="s">
        <v>105</v>
      </c>
      <c r="Q10" s="136" t="s">
        <v>101</v>
      </c>
      <c r="R10" s="53"/>
      <c r="S10" s="51"/>
      <c r="T10" s="114" t="s">
        <v>49</v>
      </c>
      <c r="U10" s="114" t="s">
        <v>50</v>
      </c>
      <c r="W10" t="s">
        <v>138</v>
      </c>
      <c r="X10" t="s">
        <v>139</v>
      </c>
      <c r="Y10" t="s">
        <v>140</v>
      </c>
      <c r="AF10" s="171" t="s">
        <v>152</v>
      </c>
      <c r="AG10" s="171"/>
      <c r="AH10" s="171"/>
      <c r="AI10" s="171" t="s">
        <v>153</v>
      </c>
      <c r="AJ10" s="171"/>
      <c r="AK10" s="171"/>
      <c r="AL10" s="171" t="s">
        <v>154</v>
      </c>
    </row>
    <row r="11" spans="1:38" ht="15.75" x14ac:dyDescent="0.25">
      <c r="A11" s="2">
        <f>DATE(H1,D1,1)</f>
        <v>46082</v>
      </c>
      <c r="B11" s="2">
        <f>CODE(TEXT(A11,"TTTT"))</f>
        <v>84</v>
      </c>
      <c r="C11" s="54" t="str">
        <f t="shared" ref="C11:C41" si="0">TEXT(A11,"DD.M. DDDD")</f>
        <v>01.3. niedziela</v>
      </c>
      <c r="D11" s="159" t="s">
        <v>47</v>
      </c>
      <c r="E11" s="117" t="str">
        <f>IF(D11="w","wolne",IF(D11="u","urlop",IF(D11="c","choroba",IF(D11="g","godziny",IF(D11="a","nieobecny",IF(D11="op","opieka"," "))))))</f>
        <v>wolne</v>
      </c>
      <c r="F11" s="115"/>
      <c r="G11" s="115"/>
      <c r="H11" s="55" t="str">
        <f t="shared" ref="H11:H41" si="1">IF(D11="d",(((((TRUNC(G11)-1)-TRUNC(F11))*60)+((G11-TRUNC(G11))*100)+(60-(F11-TRUNC(F11))*100))-(IF(M11&lt;przerwa1,pause,przerwa1)))/60,IF((OR((B11=83),(D11="u"),(D11="uz"),(D11="a"),(D11="c"),(D11="s"),(AND(D11="w",F11="")),(D11="oc"),(D11="um"),(D11="op"),(D11="oc"))),"",IF(OR(D11="g",AND(D11="gp",F11="")),0,TRUNC((((TRUNC(G11)*60+(G11-(TRUNC(G11)))*100)-(TRUNC(F11)*60+(F11-TRUNC(F11))*100))-(IF(M11&lt;przerwa1,pause,przerwa1)))/60)+(((((TRUNC(G11)*60+(G11-(TRUNC(G11)))*100)-(TRUNC(F11)*60+(F11-TRUNC(F11))*100))-(IF(M11&lt;przerwa1,pause,przerwa1)))/60)-TRUNC(((((TRUNC(G11)*60+(G11-(TRUNC(G11)))*100)-(TRUNC(F11)*60+(F11-TRUNC(F11))*100))-(IF(M11&lt;przerwa1,pause,przerwa1)))/60)))*60/100)))</f>
        <v/>
      </c>
      <c r="I11" s="55" t="str">
        <f t="shared" ref="I11:I41" si="2">IF(AND(D11="gp",F11=""),-(TRUNC(godz/1.5)+((godz/1.5)-TRUNC(godz/1.5))*60/100),IF(AND(D11="gp",F11&lt;&gt;"",G11&lt;&gt;""),ROUND(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+(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-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)*60/100,2),IF(OR((B11=83),(D11="w"),(D11="s"),(D11="c"),(D11="a"),(D11="oc"),(D11="um"),(D11="op"),(D11="uz"),(D11="u")),"",ROUND((TRUNC(H11-godz)+(((TRUNC(H11)*60)+(H11-TRUNC(H11))*100)-(godz*60)-(TRUNC(H11-godz)*60))/100),2))))</f>
        <v/>
      </c>
      <c r="J11" s="56" t="str">
        <f t="shared" ref="J11:J41" si="3">IF(D11="gp",(TRUNC(I11)*60+(I11-TRUNC(I11))*100),IF(OR((I11=""),(B11=83)),"",IF((I11=0),0,TRUNC(H11-godz)*60+(((TRUNC(H11)*60)+(H11-TRUNC(H11))*100)-(godz*60)-(TRUNC(H11-godz)*60)))))</f>
        <v/>
      </c>
      <c r="K11" s="57">
        <f>IF(OR((B11=83),(D11="w")),0,1)</f>
        <v>0</v>
      </c>
      <c r="L11" s="57">
        <f>IF(OR((D11="c"),(D11="u"),(D11="uz"),(D11="um"),(D11="op"),(D11="oc"),(D11="s")),1,0)</f>
        <v>0</v>
      </c>
      <c r="M11" s="58" t="str">
        <f t="shared" ref="M11:M41" si="4">IF(((((((TRUNC(G11)-1)-TRUNC(F11))*60)+((G11-TRUNC(G11))*100)+(60-(F11-TRUNC(F11))*100)))/100)&lt;pause2,"przerwa1","pause")</f>
        <v>przerwa1</v>
      </c>
      <c r="N11" s="57">
        <f>IF(OR((B11=83),(D11="w"),(D11="g"),(D11="c"),(D11="u"),(D11="uz"),(D11="op"),(D11="oc")),0,1)</f>
        <v>0</v>
      </c>
      <c r="O11" s="138"/>
      <c r="P11" s="149"/>
      <c r="Q11" s="138"/>
      <c r="R11" s="8"/>
      <c r="S11" s="60" t="str">
        <f t="shared" ref="S11:S41" si="5">IF(H11&lt;&gt;"",IF(D11="w",((TRUNC(H11)*60)+(H11-TRUNC(H11))*100),((TRUNC(H11)*60+(H11-TRUNC(H11))*100)-pause2*60-O11))," ")</f>
        <v xml:space="preserve"> </v>
      </c>
      <c r="T11" s="60" t="str">
        <f>IF(S11&gt;0,S11," ")</f>
        <v xml:space="preserve"> </v>
      </c>
      <c r="U11" s="60" t="str">
        <f>IF(S11&lt;0,S11," ")</f>
        <v xml:space="preserve"> </v>
      </c>
      <c r="W11">
        <f>IF(H11="",0,TRUNC(H11)*60)</f>
        <v>0</v>
      </c>
      <c r="X11">
        <f>IF(H11="",0,ROUND((H11-TRUNC(H11))*100,0)-O11)</f>
        <v>0</v>
      </c>
      <c r="Y11">
        <f>IF(D11="gp",(TRUNC(I11)*60+(I11-TRUNC(I11))*100),(IF(D11="g",(TRUNC(I11)*60+(I11-TRUNC(I11))*100),W11+X11)))</f>
        <v>0</v>
      </c>
      <c r="AD11" s="158">
        <f t="shared" ref="AD11:AD12" si="6">TRUNC(F11)</f>
        <v>0</v>
      </c>
      <c r="AE11" s="158">
        <f t="shared" ref="AE11:AE12" si="7">F11-TRUNC(F11)</f>
        <v>0</v>
      </c>
      <c r="AF11" s="64" t="str">
        <f t="shared" ref="AF11:AF12" si="8">IF(F11&lt;&gt;0,AD11+(AE11/0.6)," ")</f>
        <v xml:space="preserve"> </v>
      </c>
      <c r="AG11" s="169">
        <f t="shared" ref="AG11:AG12" si="9">TRUNC(G11)</f>
        <v>0</v>
      </c>
      <c r="AH11" s="169">
        <f t="shared" ref="AH11:AH12" si="10">G11-TRUNC(G11)</f>
        <v>0</v>
      </c>
      <c r="AI11" s="64" t="str">
        <f t="shared" ref="AI11:AI12" si="11">IF(G11&lt;&gt;0,AG11+(AH11/0.6)," ")</f>
        <v xml:space="preserve"> </v>
      </c>
      <c r="AJ11" s="169" t="str">
        <f t="shared" ref="AJ11:AJ12" si="12">IF(H11&lt;&gt;"",TRUNC(H11),"")</f>
        <v/>
      </c>
      <c r="AK11" s="169" t="str">
        <f t="shared" ref="AK11:AK13" si="13">IF(H11&lt;&gt;"",H11-AJ11,"")</f>
        <v/>
      </c>
      <c r="AL11" s="64" t="str">
        <f t="shared" ref="AL11:AL12" si="14">IF(H11&lt;&gt;"",AJ11+(AK11/0.6)," ")</f>
        <v xml:space="preserve"> </v>
      </c>
    </row>
    <row r="12" spans="1:38" ht="15.75" x14ac:dyDescent="0.25">
      <c r="A12" s="2">
        <f>(A11+1)</f>
        <v>46083</v>
      </c>
      <c r="B12" s="2">
        <f t="shared" ref="B12:B41" si="15">CODE(TEXT(A12,"TTTT"))</f>
        <v>84</v>
      </c>
      <c r="C12" s="54" t="str">
        <f t="shared" si="0"/>
        <v>02.3. poniedziałek</v>
      </c>
      <c r="D12" s="159"/>
      <c r="E12" s="117" t="str">
        <f t="shared" ref="E12:E41" si="16">IF(D12="w","wolne",IF(D12="u","urlop",IF(D12="c","choroba",IF(D12="g","godziny",IF(D12="a","nieobecny",IF(D12="op","opieka"," "))))))</f>
        <v xml:space="preserve"> </v>
      </c>
      <c r="F12" s="115">
        <v>8</v>
      </c>
      <c r="G12" s="115">
        <v>16</v>
      </c>
      <c r="H12" s="55">
        <f t="shared" si="1"/>
        <v>8</v>
      </c>
      <c r="I12" s="55">
        <f t="shared" si="2"/>
        <v>0</v>
      </c>
      <c r="J12" s="56">
        <f t="shared" si="3"/>
        <v>0</v>
      </c>
      <c r="K12" s="57">
        <f>IF(OR((B12=83),(D12="w")),0,1)</f>
        <v>1</v>
      </c>
      <c r="L12" s="57">
        <f t="shared" ref="L12:L41" si="17">IF(OR((D12="c"),(D12="u"),(D12="uz"),(D12="um"),(D12="op"),(D12="oc"),(D12="s")),1,0)</f>
        <v>0</v>
      </c>
      <c r="M12" s="58" t="str">
        <f t="shared" si="4"/>
        <v>przerwa1</v>
      </c>
      <c r="N12" s="57">
        <f t="shared" ref="N12:N41" si="18">IF(OR((B12=83),(D12="w"),(D12="g"),(D12="c"),(D12="u"),(D12="uz"),(D12="op"),(D12="oc")),0,1)</f>
        <v>1</v>
      </c>
      <c r="O12" s="138"/>
      <c r="P12" s="149"/>
      <c r="Q12" s="138"/>
      <c r="R12" s="8"/>
      <c r="S12" s="60">
        <f t="shared" si="5"/>
        <v>0</v>
      </c>
      <c r="T12" s="60" t="str">
        <f t="shared" ref="T12:T41" si="19">IF(S12&gt;0,S12," ")</f>
        <v xml:space="preserve"> </v>
      </c>
      <c r="U12" s="60" t="str">
        <f t="shared" ref="U12:U41" si="20">IF(S12&lt;0,S12," ")</f>
        <v xml:space="preserve"> </v>
      </c>
      <c r="W12">
        <f t="shared" ref="W12:W41" si="21">IF(H12="",0,TRUNC(H12)*60)</f>
        <v>480</v>
      </c>
      <c r="X12">
        <f t="shared" ref="X12:X41" si="22">IF(H12="",0,ROUND((H12-TRUNC(H12))*100,0)-O12)</f>
        <v>0</v>
      </c>
      <c r="Y12">
        <f t="shared" ref="Y12:Y41" si="23">IF(D12="gp",(TRUNC(I12)*60+(I12-TRUNC(I12))*100),(IF(D12="g",(TRUNC(I12)*60+(I12-TRUNC(I12))*100),W12+X12)))</f>
        <v>480</v>
      </c>
      <c r="AD12" s="158">
        <f t="shared" si="6"/>
        <v>8</v>
      </c>
      <c r="AE12" s="158">
        <f t="shared" si="7"/>
        <v>0</v>
      </c>
      <c r="AF12" s="64">
        <f t="shared" si="8"/>
        <v>8</v>
      </c>
      <c r="AG12" s="169">
        <f t="shared" si="9"/>
        <v>16</v>
      </c>
      <c r="AH12" s="169">
        <f t="shared" si="10"/>
        <v>0</v>
      </c>
      <c r="AI12" s="64">
        <f t="shared" si="11"/>
        <v>16</v>
      </c>
      <c r="AJ12" s="169">
        <f t="shared" si="12"/>
        <v>8</v>
      </c>
      <c r="AK12" s="169">
        <f t="shared" si="13"/>
        <v>0</v>
      </c>
      <c r="AL12" s="64">
        <f t="shared" si="14"/>
        <v>8</v>
      </c>
    </row>
    <row r="13" spans="1:38" ht="15.75" x14ac:dyDescent="0.25">
      <c r="A13" s="2">
        <f t="shared" ref="A13:A41" si="24">(A12+1)</f>
        <v>46084</v>
      </c>
      <c r="B13" s="2">
        <f t="shared" si="15"/>
        <v>84</v>
      </c>
      <c r="C13" s="54" t="str">
        <f t="shared" si="0"/>
        <v>03.3. wtorek</v>
      </c>
      <c r="D13" s="159"/>
      <c r="E13" s="117" t="str">
        <f t="shared" si="16"/>
        <v xml:space="preserve"> </v>
      </c>
      <c r="F13" s="115">
        <v>8</v>
      </c>
      <c r="G13" s="115">
        <v>16</v>
      </c>
      <c r="H13" s="55">
        <f t="shared" si="1"/>
        <v>8</v>
      </c>
      <c r="I13" s="55">
        <f t="shared" si="2"/>
        <v>0</v>
      </c>
      <c r="J13" s="56">
        <f t="shared" si="3"/>
        <v>0</v>
      </c>
      <c r="K13" s="57">
        <f>IF(OR((B13=83),(D13="w")),0,1)</f>
        <v>1</v>
      </c>
      <c r="L13" s="57">
        <f t="shared" si="17"/>
        <v>0</v>
      </c>
      <c r="M13" s="58" t="str">
        <f t="shared" si="4"/>
        <v>przerwa1</v>
      </c>
      <c r="N13" s="57">
        <f t="shared" si="18"/>
        <v>1</v>
      </c>
      <c r="O13" s="138"/>
      <c r="P13" s="149"/>
      <c r="Q13" s="138"/>
      <c r="R13" s="8"/>
      <c r="S13" s="60">
        <f t="shared" si="5"/>
        <v>0</v>
      </c>
      <c r="T13" s="60" t="str">
        <f t="shared" si="19"/>
        <v xml:space="preserve"> </v>
      </c>
      <c r="U13" s="60" t="str">
        <f t="shared" si="20"/>
        <v xml:space="preserve"> </v>
      </c>
      <c r="W13">
        <f t="shared" si="21"/>
        <v>480</v>
      </c>
      <c r="X13">
        <f t="shared" si="22"/>
        <v>0</v>
      </c>
      <c r="Y13">
        <f t="shared" si="23"/>
        <v>480</v>
      </c>
      <c r="AD13" s="158">
        <f>TRUNC(F13)</f>
        <v>8</v>
      </c>
      <c r="AE13" s="158">
        <f>F13-TRUNC(F13)</f>
        <v>0</v>
      </c>
      <c r="AF13" s="64">
        <f>IF(F13&lt;&gt;0,AD13+(AE13/0.6)," ")</f>
        <v>8</v>
      </c>
      <c r="AG13" s="169">
        <f>TRUNC(G13)</f>
        <v>16</v>
      </c>
      <c r="AH13" s="169">
        <f>G13-TRUNC(G13)</f>
        <v>0</v>
      </c>
      <c r="AI13" s="64">
        <f>IF(G13&lt;&gt;0,AG13+(AH13/0.6)," ")</f>
        <v>16</v>
      </c>
      <c r="AJ13" s="169">
        <f>IF(H13&lt;&gt;"",TRUNC(H13),"")</f>
        <v>8</v>
      </c>
      <c r="AK13" s="169">
        <f t="shared" si="13"/>
        <v>0</v>
      </c>
      <c r="AL13" s="64">
        <f>IF(H13&lt;&gt;"",AJ13+(AK13/0.6)," ")</f>
        <v>8</v>
      </c>
    </row>
    <row r="14" spans="1:38" ht="15.75" x14ac:dyDescent="0.25">
      <c r="A14" s="2">
        <f t="shared" si="24"/>
        <v>46085</v>
      </c>
      <c r="B14" s="2">
        <f t="shared" si="15"/>
        <v>84</v>
      </c>
      <c r="C14" s="54" t="str">
        <f t="shared" si="0"/>
        <v>04.3. środa</v>
      </c>
      <c r="D14" s="159"/>
      <c r="E14" s="117" t="str">
        <f t="shared" si="16"/>
        <v xml:space="preserve"> </v>
      </c>
      <c r="F14" s="115">
        <v>8</v>
      </c>
      <c r="G14" s="115">
        <v>16</v>
      </c>
      <c r="H14" s="55">
        <f t="shared" si="1"/>
        <v>8</v>
      </c>
      <c r="I14" s="55">
        <f t="shared" si="2"/>
        <v>0</v>
      </c>
      <c r="J14" s="56">
        <f t="shared" si="3"/>
        <v>0</v>
      </c>
      <c r="K14" s="57">
        <f>IF(OR((B14=83),(D14="w")),0,1)</f>
        <v>1</v>
      </c>
      <c r="L14" s="57">
        <f t="shared" si="17"/>
        <v>0</v>
      </c>
      <c r="M14" s="58" t="str">
        <f t="shared" si="4"/>
        <v>przerwa1</v>
      </c>
      <c r="N14" s="57">
        <f t="shared" si="18"/>
        <v>1</v>
      </c>
      <c r="O14" s="138"/>
      <c r="P14" s="149"/>
      <c r="Q14" s="138"/>
      <c r="R14" s="8"/>
      <c r="S14" s="60">
        <f t="shared" si="5"/>
        <v>0</v>
      </c>
      <c r="T14" s="60" t="str">
        <f t="shared" si="19"/>
        <v xml:space="preserve"> </v>
      </c>
      <c r="U14" s="60" t="str">
        <f t="shared" si="20"/>
        <v xml:space="preserve"> </v>
      </c>
      <c r="W14">
        <f t="shared" si="21"/>
        <v>480</v>
      </c>
      <c r="X14">
        <f t="shared" si="22"/>
        <v>0</v>
      </c>
      <c r="Y14">
        <f t="shared" si="23"/>
        <v>480</v>
      </c>
      <c r="AD14" s="158">
        <f t="shared" ref="AD14:AD41" si="25">TRUNC(F14)</f>
        <v>8</v>
      </c>
      <c r="AE14" s="158">
        <f t="shared" ref="AE14:AE41" si="26">F14-TRUNC(F14)</f>
        <v>0</v>
      </c>
      <c r="AF14" s="64">
        <f t="shared" ref="AF14:AF41" si="27">IF(F14&lt;&gt;0,AD14+(AE14/0.6)," ")</f>
        <v>8</v>
      </c>
      <c r="AG14" s="169">
        <f t="shared" ref="AG14:AG41" si="28">TRUNC(G14)</f>
        <v>16</v>
      </c>
      <c r="AH14" s="169">
        <f t="shared" ref="AH14:AH41" si="29">G14-TRUNC(G14)</f>
        <v>0</v>
      </c>
      <c r="AI14" s="64">
        <f t="shared" ref="AI14:AI41" si="30">IF(G14&lt;&gt;0,AG14+(AH14/0.6)," ")</f>
        <v>16</v>
      </c>
      <c r="AJ14" s="169">
        <f t="shared" ref="AJ14:AJ41" si="31">IF(H14&lt;&gt;"",TRUNC(H14),"")</f>
        <v>8</v>
      </c>
      <c r="AK14" s="169">
        <f t="shared" ref="AK14:AK41" si="32">IF(H14&lt;&gt;"",H14-AJ14,"")</f>
        <v>0</v>
      </c>
      <c r="AL14" s="64">
        <f t="shared" ref="AL14:AL41" si="33">IF(H14&lt;&gt;"",AJ14+(AK14/0.6)," ")</f>
        <v>8</v>
      </c>
    </row>
    <row r="15" spans="1:38" ht="15.75" x14ac:dyDescent="0.25">
      <c r="A15" s="2">
        <f t="shared" si="24"/>
        <v>46086</v>
      </c>
      <c r="B15" s="2">
        <f t="shared" si="15"/>
        <v>84</v>
      </c>
      <c r="C15" s="54" t="str">
        <f t="shared" si="0"/>
        <v>05.3. czwartek</v>
      </c>
      <c r="D15" s="159"/>
      <c r="E15" s="117" t="str">
        <f t="shared" si="16"/>
        <v xml:space="preserve"> </v>
      </c>
      <c r="F15" s="115">
        <v>8</v>
      </c>
      <c r="G15" s="115">
        <v>16</v>
      </c>
      <c r="H15" s="55">
        <f t="shared" si="1"/>
        <v>8</v>
      </c>
      <c r="I15" s="55">
        <f t="shared" si="2"/>
        <v>0</v>
      </c>
      <c r="J15" s="56">
        <f t="shared" si="3"/>
        <v>0</v>
      </c>
      <c r="K15" s="57">
        <f t="shared" ref="K15:K41" si="34">IF(OR((B15=83),(D15="w")),0,1)</f>
        <v>1</v>
      </c>
      <c r="L15" s="57">
        <f t="shared" si="17"/>
        <v>0</v>
      </c>
      <c r="M15" s="58" t="str">
        <f t="shared" si="4"/>
        <v>przerwa1</v>
      </c>
      <c r="N15" s="57">
        <f t="shared" si="18"/>
        <v>1</v>
      </c>
      <c r="O15" s="138"/>
      <c r="P15" s="149"/>
      <c r="Q15" s="138"/>
      <c r="R15" s="8"/>
      <c r="S15" s="60">
        <f t="shared" si="5"/>
        <v>0</v>
      </c>
      <c r="T15" s="60" t="str">
        <f t="shared" si="19"/>
        <v xml:space="preserve"> </v>
      </c>
      <c r="U15" s="60" t="str">
        <f t="shared" si="20"/>
        <v xml:space="preserve"> </v>
      </c>
      <c r="W15">
        <f t="shared" si="21"/>
        <v>480</v>
      </c>
      <c r="X15">
        <f t="shared" si="22"/>
        <v>0</v>
      </c>
      <c r="Y15">
        <f t="shared" si="23"/>
        <v>480</v>
      </c>
      <c r="AD15" s="158">
        <f t="shared" si="25"/>
        <v>8</v>
      </c>
      <c r="AE15" s="158">
        <f t="shared" si="26"/>
        <v>0</v>
      </c>
      <c r="AF15" s="64">
        <f t="shared" si="27"/>
        <v>8</v>
      </c>
      <c r="AG15" s="169">
        <f t="shared" si="28"/>
        <v>16</v>
      </c>
      <c r="AH15" s="169">
        <f t="shared" si="29"/>
        <v>0</v>
      </c>
      <c r="AI15" s="64">
        <f t="shared" si="30"/>
        <v>16</v>
      </c>
      <c r="AJ15" s="169">
        <f t="shared" si="31"/>
        <v>8</v>
      </c>
      <c r="AK15" s="169">
        <f t="shared" si="32"/>
        <v>0</v>
      </c>
      <c r="AL15" s="64">
        <f t="shared" si="33"/>
        <v>8</v>
      </c>
    </row>
    <row r="16" spans="1:38" ht="15.75" x14ac:dyDescent="0.25">
      <c r="A16" s="2">
        <f t="shared" si="24"/>
        <v>46087</v>
      </c>
      <c r="B16" s="2">
        <f t="shared" si="15"/>
        <v>84</v>
      </c>
      <c r="C16" s="54" t="str">
        <f t="shared" si="0"/>
        <v>06.3. piątek</v>
      </c>
      <c r="D16" s="159"/>
      <c r="E16" s="117" t="str">
        <f t="shared" si="16"/>
        <v xml:space="preserve"> </v>
      </c>
      <c r="F16" s="115">
        <v>8</v>
      </c>
      <c r="G16" s="115">
        <v>16</v>
      </c>
      <c r="H16" s="55">
        <f t="shared" si="1"/>
        <v>8</v>
      </c>
      <c r="I16" s="55">
        <f t="shared" si="2"/>
        <v>0</v>
      </c>
      <c r="J16" s="56">
        <f t="shared" si="3"/>
        <v>0</v>
      </c>
      <c r="K16" s="57">
        <f t="shared" si="34"/>
        <v>1</v>
      </c>
      <c r="L16" s="57">
        <f t="shared" si="17"/>
        <v>0</v>
      </c>
      <c r="M16" s="58" t="str">
        <f t="shared" si="4"/>
        <v>przerwa1</v>
      </c>
      <c r="N16" s="57">
        <f t="shared" si="18"/>
        <v>1</v>
      </c>
      <c r="O16" s="138"/>
      <c r="P16" s="149"/>
      <c r="Q16" s="138"/>
      <c r="R16" s="8"/>
      <c r="S16" s="60">
        <f t="shared" si="5"/>
        <v>0</v>
      </c>
      <c r="T16" s="60" t="str">
        <f t="shared" si="19"/>
        <v xml:space="preserve"> </v>
      </c>
      <c r="U16" s="60" t="str">
        <f t="shared" si="20"/>
        <v xml:space="preserve"> </v>
      </c>
      <c r="W16">
        <f t="shared" si="21"/>
        <v>480</v>
      </c>
      <c r="X16">
        <f t="shared" si="22"/>
        <v>0</v>
      </c>
      <c r="Y16">
        <f t="shared" si="23"/>
        <v>480</v>
      </c>
      <c r="AD16" s="158">
        <f t="shared" si="25"/>
        <v>8</v>
      </c>
      <c r="AE16" s="158">
        <f t="shared" si="26"/>
        <v>0</v>
      </c>
      <c r="AF16" s="64">
        <f t="shared" si="27"/>
        <v>8</v>
      </c>
      <c r="AG16" s="169">
        <f t="shared" si="28"/>
        <v>16</v>
      </c>
      <c r="AH16" s="169">
        <f t="shared" si="29"/>
        <v>0</v>
      </c>
      <c r="AI16" s="64">
        <f t="shared" si="30"/>
        <v>16</v>
      </c>
      <c r="AJ16" s="169">
        <f t="shared" si="31"/>
        <v>8</v>
      </c>
      <c r="AK16" s="169">
        <f t="shared" si="32"/>
        <v>0</v>
      </c>
      <c r="AL16" s="64">
        <f t="shared" si="33"/>
        <v>8</v>
      </c>
    </row>
    <row r="17" spans="1:38" ht="15.75" x14ac:dyDescent="0.25">
      <c r="A17" s="2">
        <f t="shared" si="24"/>
        <v>46088</v>
      </c>
      <c r="B17" s="2">
        <f t="shared" si="15"/>
        <v>84</v>
      </c>
      <c r="C17" s="54" t="str">
        <f t="shared" si="0"/>
        <v>07.3. sobota</v>
      </c>
      <c r="D17" s="159" t="s">
        <v>47</v>
      </c>
      <c r="E17" s="117" t="str">
        <f t="shared" si="16"/>
        <v>wolne</v>
      </c>
      <c r="F17" s="115"/>
      <c r="G17" s="115"/>
      <c r="H17" s="55" t="str">
        <f t="shared" si="1"/>
        <v/>
      </c>
      <c r="I17" s="55" t="str">
        <f t="shared" si="2"/>
        <v/>
      </c>
      <c r="J17" s="56" t="str">
        <f t="shared" si="3"/>
        <v/>
      </c>
      <c r="K17" s="57">
        <f t="shared" si="34"/>
        <v>0</v>
      </c>
      <c r="L17" s="57">
        <f t="shared" si="17"/>
        <v>0</v>
      </c>
      <c r="M17" s="58" t="str">
        <f t="shared" si="4"/>
        <v>przerwa1</v>
      </c>
      <c r="N17" s="57">
        <f t="shared" si="18"/>
        <v>0</v>
      </c>
      <c r="O17" s="138"/>
      <c r="P17" s="149"/>
      <c r="Q17" s="138"/>
      <c r="R17" s="8"/>
      <c r="S17" s="60" t="str">
        <f t="shared" si="5"/>
        <v xml:space="preserve"> </v>
      </c>
      <c r="T17" s="60" t="str">
        <f t="shared" si="19"/>
        <v xml:space="preserve"> </v>
      </c>
      <c r="U17" s="60" t="str">
        <f t="shared" si="20"/>
        <v xml:space="preserve"> </v>
      </c>
      <c r="W17">
        <f t="shared" si="21"/>
        <v>0</v>
      </c>
      <c r="X17">
        <f t="shared" si="22"/>
        <v>0</v>
      </c>
      <c r="Y17">
        <f t="shared" si="23"/>
        <v>0</v>
      </c>
      <c r="AD17" s="158">
        <f t="shared" si="25"/>
        <v>0</v>
      </c>
      <c r="AE17" s="158">
        <f t="shared" si="26"/>
        <v>0</v>
      </c>
      <c r="AF17" s="64" t="str">
        <f t="shared" si="27"/>
        <v xml:space="preserve"> </v>
      </c>
      <c r="AG17" s="169">
        <f t="shared" si="28"/>
        <v>0</v>
      </c>
      <c r="AH17" s="169">
        <f t="shared" si="29"/>
        <v>0</v>
      </c>
      <c r="AI17" s="64" t="str">
        <f t="shared" si="30"/>
        <v xml:space="preserve"> </v>
      </c>
      <c r="AJ17" s="169" t="str">
        <f t="shared" si="31"/>
        <v/>
      </c>
      <c r="AK17" s="169" t="str">
        <f t="shared" si="32"/>
        <v/>
      </c>
      <c r="AL17" s="64" t="str">
        <f t="shared" si="33"/>
        <v xml:space="preserve"> </v>
      </c>
    </row>
    <row r="18" spans="1:38" ht="15.75" x14ac:dyDescent="0.25">
      <c r="A18" s="2">
        <f t="shared" si="24"/>
        <v>46089</v>
      </c>
      <c r="B18" s="2">
        <f t="shared" si="15"/>
        <v>84</v>
      </c>
      <c r="C18" s="54" t="str">
        <f t="shared" si="0"/>
        <v>08.3. niedziela</v>
      </c>
      <c r="D18" s="159" t="s">
        <v>47</v>
      </c>
      <c r="E18" s="117" t="str">
        <f t="shared" si="16"/>
        <v>wolne</v>
      </c>
      <c r="F18" s="115"/>
      <c r="G18" s="115"/>
      <c r="H18" s="55" t="str">
        <f t="shared" si="1"/>
        <v/>
      </c>
      <c r="I18" s="55" t="str">
        <f t="shared" si="2"/>
        <v/>
      </c>
      <c r="J18" s="56" t="str">
        <f t="shared" si="3"/>
        <v/>
      </c>
      <c r="K18" s="57">
        <f t="shared" si="34"/>
        <v>0</v>
      </c>
      <c r="L18" s="57">
        <f t="shared" si="17"/>
        <v>0</v>
      </c>
      <c r="M18" s="58" t="str">
        <f t="shared" si="4"/>
        <v>przerwa1</v>
      </c>
      <c r="N18" s="57">
        <f t="shared" si="18"/>
        <v>0</v>
      </c>
      <c r="O18" s="138"/>
      <c r="P18" s="149"/>
      <c r="Q18" s="138"/>
      <c r="R18" s="8"/>
      <c r="S18" s="60" t="str">
        <f t="shared" si="5"/>
        <v xml:space="preserve"> </v>
      </c>
      <c r="T18" s="60" t="str">
        <f t="shared" si="19"/>
        <v xml:space="preserve"> </v>
      </c>
      <c r="U18" s="60" t="str">
        <f t="shared" si="20"/>
        <v xml:space="preserve"> </v>
      </c>
      <c r="W18">
        <f t="shared" si="21"/>
        <v>0</v>
      </c>
      <c r="X18">
        <f t="shared" si="22"/>
        <v>0</v>
      </c>
      <c r="Y18">
        <f t="shared" si="23"/>
        <v>0</v>
      </c>
      <c r="AD18" s="158">
        <f t="shared" si="25"/>
        <v>0</v>
      </c>
      <c r="AE18" s="158">
        <f t="shared" si="26"/>
        <v>0</v>
      </c>
      <c r="AF18" s="64" t="str">
        <f t="shared" si="27"/>
        <v xml:space="preserve"> </v>
      </c>
      <c r="AG18" s="169">
        <f t="shared" si="28"/>
        <v>0</v>
      </c>
      <c r="AH18" s="169">
        <f t="shared" si="29"/>
        <v>0</v>
      </c>
      <c r="AI18" s="64" t="str">
        <f t="shared" si="30"/>
        <v xml:space="preserve"> </v>
      </c>
      <c r="AJ18" s="169" t="str">
        <f t="shared" si="31"/>
        <v/>
      </c>
      <c r="AK18" s="169" t="str">
        <f t="shared" si="32"/>
        <v/>
      </c>
      <c r="AL18" s="64" t="str">
        <f t="shared" si="33"/>
        <v xml:space="preserve"> </v>
      </c>
    </row>
    <row r="19" spans="1:38" ht="15.75" x14ac:dyDescent="0.25">
      <c r="A19" s="2">
        <f t="shared" si="24"/>
        <v>46090</v>
      </c>
      <c r="B19" s="2">
        <f t="shared" si="15"/>
        <v>84</v>
      </c>
      <c r="C19" s="54" t="str">
        <f t="shared" si="0"/>
        <v>09.3. poniedziałek</v>
      </c>
      <c r="D19" s="159"/>
      <c r="E19" s="117" t="str">
        <f t="shared" si="16"/>
        <v xml:space="preserve"> </v>
      </c>
      <c r="F19" s="115">
        <v>8</v>
      </c>
      <c r="G19" s="115">
        <v>16</v>
      </c>
      <c r="H19" s="55">
        <f t="shared" si="1"/>
        <v>8</v>
      </c>
      <c r="I19" s="55">
        <f t="shared" si="2"/>
        <v>0</v>
      </c>
      <c r="J19" s="56">
        <f t="shared" si="3"/>
        <v>0</v>
      </c>
      <c r="K19" s="57">
        <f t="shared" si="34"/>
        <v>1</v>
      </c>
      <c r="L19" s="57">
        <f t="shared" si="17"/>
        <v>0</v>
      </c>
      <c r="M19" s="58" t="str">
        <f t="shared" si="4"/>
        <v>przerwa1</v>
      </c>
      <c r="N19" s="57">
        <f t="shared" si="18"/>
        <v>1</v>
      </c>
      <c r="O19" s="138"/>
      <c r="P19" s="149"/>
      <c r="Q19" s="138"/>
      <c r="R19" s="8"/>
      <c r="S19" s="60">
        <f t="shared" si="5"/>
        <v>0</v>
      </c>
      <c r="T19" s="60" t="str">
        <f t="shared" si="19"/>
        <v xml:space="preserve"> </v>
      </c>
      <c r="U19" s="60" t="str">
        <f t="shared" si="20"/>
        <v xml:space="preserve"> </v>
      </c>
      <c r="W19">
        <f t="shared" si="21"/>
        <v>480</v>
      </c>
      <c r="X19">
        <f t="shared" si="22"/>
        <v>0</v>
      </c>
      <c r="Y19">
        <f t="shared" si="23"/>
        <v>480</v>
      </c>
      <c r="AD19" s="158">
        <f t="shared" si="25"/>
        <v>8</v>
      </c>
      <c r="AE19" s="158">
        <f t="shared" si="26"/>
        <v>0</v>
      </c>
      <c r="AF19" s="64">
        <f t="shared" si="27"/>
        <v>8</v>
      </c>
      <c r="AG19" s="169">
        <f t="shared" si="28"/>
        <v>16</v>
      </c>
      <c r="AH19" s="169">
        <f t="shared" si="29"/>
        <v>0</v>
      </c>
      <c r="AI19" s="64">
        <f t="shared" si="30"/>
        <v>16</v>
      </c>
      <c r="AJ19" s="169">
        <f t="shared" si="31"/>
        <v>8</v>
      </c>
      <c r="AK19" s="169">
        <f t="shared" si="32"/>
        <v>0</v>
      </c>
      <c r="AL19" s="64">
        <f t="shared" si="33"/>
        <v>8</v>
      </c>
    </row>
    <row r="20" spans="1:38" ht="15.75" x14ac:dyDescent="0.25">
      <c r="A20" s="2">
        <f t="shared" si="24"/>
        <v>46091</v>
      </c>
      <c r="B20" s="2">
        <f t="shared" si="15"/>
        <v>84</v>
      </c>
      <c r="C20" s="54" t="str">
        <f t="shared" si="0"/>
        <v>10.3. wtorek</v>
      </c>
      <c r="D20" s="159"/>
      <c r="E20" s="117" t="str">
        <f t="shared" si="16"/>
        <v xml:space="preserve"> </v>
      </c>
      <c r="F20" s="115">
        <v>8</v>
      </c>
      <c r="G20" s="115">
        <v>16</v>
      </c>
      <c r="H20" s="55">
        <f t="shared" si="1"/>
        <v>8</v>
      </c>
      <c r="I20" s="55">
        <f t="shared" si="2"/>
        <v>0</v>
      </c>
      <c r="J20" s="56">
        <f t="shared" si="3"/>
        <v>0</v>
      </c>
      <c r="K20" s="57">
        <f t="shared" si="34"/>
        <v>1</v>
      </c>
      <c r="L20" s="57">
        <f t="shared" si="17"/>
        <v>0</v>
      </c>
      <c r="M20" s="58" t="str">
        <f t="shared" si="4"/>
        <v>przerwa1</v>
      </c>
      <c r="N20" s="57">
        <f t="shared" si="18"/>
        <v>1</v>
      </c>
      <c r="O20" s="138"/>
      <c r="P20" s="149"/>
      <c r="Q20" s="138"/>
      <c r="R20" s="8"/>
      <c r="S20" s="60">
        <f t="shared" si="5"/>
        <v>0</v>
      </c>
      <c r="T20" s="60" t="str">
        <f t="shared" si="19"/>
        <v xml:space="preserve"> </v>
      </c>
      <c r="U20" s="60" t="str">
        <f t="shared" si="20"/>
        <v xml:space="preserve"> </v>
      </c>
      <c r="W20">
        <f t="shared" si="21"/>
        <v>480</v>
      </c>
      <c r="X20">
        <f t="shared" si="22"/>
        <v>0</v>
      </c>
      <c r="Y20">
        <f t="shared" si="23"/>
        <v>480</v>
      </c>
      <c r="AD20" s="158">
        <f t="shared" si="25"/>
        <v>8</v>
      </c>
      <c r="AE20" s="158">
        <f t="shared" si="26"/>
        <v>0</v>
      </c>
      <c r="AF20" s="64">
        <f t="shared" si="27"/>
        <v>8</v>
      </c>
      <c r="AG20" s="169">
        <f t="shared" si="28"/>
        <v>16</v>
      </c>
      <c r="AH20" s="169">
        <f t="shared" si="29"/>
        <v>0</v>
      </c>
      <c r="AI20" s="64">
        <f t="shared" si="30"/>
        <v>16</v>
      </c>
      <c r="AJ20" s="169">
        <f t="shared" si="31"/>
        <v>8</v>
      </c>
      <c r="AK20" s="169">
        <f>IF(H20&lt;&gt;"",H20-AJ20,"")</f>
        <v>0</v>
      </c>
      <c r="AL20" s="64">
        <f t="shared" si="33"/>
        <v>8</v>
      </c>
    </row>
    <row r="21" spans="1:38" ht="15.75" x14ac:dyDescent="0.25">
      <c r="A21" s="2">
        <f t="shared" si="24"/>
        <v>46092</v>
      </c>
      <c r="B21" s="2">
        <f t="shared" si="15"/>
        <v>84</v>
      </c>
      <c r="C21" s="54" t="str">
        <f t="shared" si="0"/>
        <v>11.3. środa</v>
      </c>
      <c r="D21" s="159"/>
      <c r="E21" s="117" t="str">
        <f t="shared" si="16"/>
        <v xml:space="preserve"> </v>
      </c>
      <c r="F21" s="115">
        <v>8</v>
      </c>
      <c r="G21" s="115">
        <v>16</v>
      </c>
      <c r="H21" s="55">
        <f t="shared" si="1"/>
        <v>8</v>
      </c>
      <c r="I21" s="55">
        <f t="shared" si="2"/>
        <v>0</v>
      </c>
      <c r="J21" s="56">
        <f t="shared" si="3"/>
        <v>0</v>
      </c>
      <c r="K21" s="57">
        <f t="shared" si="34"/>
        <v>1</v>
      </c>
      <c r="L21" s="57">
        <f t="shared" si="17"/>
        <v>0</v>
      </c>
      <c r="M21" s="58" t="str">
        <f t="shared" si="4"/>
        <v>przerwa1</v>
      </c>
      <c r="N21" s="57">
        <f t="shared" si="18"/>
        <v>1</v>
      </c>
      <c r="O21" s="138"/>
      <c r="P21" s="149"/>
      <c r="Q21" s="138"/>
      <c r="R21" s="8"/>
      <c r="S21" s="60">
        <f t="shared" si="5"/>
        <v>0</v>
      </c>
      <c r="T21" s="60" t="str">
        <f t="shared" si="19"/>
        <v xml:space="preserve"> </v>
      </c>
      <c r="U21" s="60" t="str">
        <f t="shared" si="20"/>
        <v xml:space="preserve"> </v>
      </c>
      <c r="W21">
        <f t="shared" si="21"/>
        <v>480</v>
      </c>
      <c r="X21">
        <f t="shared" si="22"/>
        <v>0</v>
      </c>
      <c r="Y21">
        <f t="shared" si="23"/>
        <v>480</v>
      </c>
      <c r="AD21" s="158">
        <f t="shared" si="25"/>
        <v>8</v>
      </c>
      <c r="AE21" s="158">
        <f t="shared" si="26"/>
        <v>0</v>
      </c>
      <c r="AF21" s="64">
        <f t="shared" si="27"/>
        <v>8</v>
      </c>
      <c r="AG21" s="169">
        <f t="shared" si="28"/>
        <v>16</v>
      </c>
      <c r="AH21" s="169">
        <f t="shared" si="29"/>
        <v>0</v>
      </c>
      <c r="AI21" s="64">
        <f t="shared" si="30"/>
        <v>16</v>
      </c>
      <c r="AJ21" s="169">
        <f t="shared" si="31"/>
        <v>8</v>
      </c>
      <c r="AK21" s="169">
        <f t="shared" si="32"/>
        <v>0</v>
      </c>
      <c r="AL21" s="64">
        <f t="shared" si="33"/>
        <v>8</v>
      </c>
    </row>
    <row r="22" spans="1:38" ht="15.75" x14ac:dyDescent="0.25">
      <c r="A22" s="2">
        <f t="shared" si="24"/>
        <v>46093</v>
      </c>
      <c r="B22" s="2">
        <f t="shared" si="15"/>
        <v>84</v>
      </c>
      <c r="C22" s="54" t="str">
        <f t="shared" si="0"/>
        <v>12.3. czwartek</v>
      </c>
      <c r="D22" s="159"/>
      <c r="E22" s="117" t="str">
        <f t="shared" si="16"/>
        <v xml:space="preserve"> </v>
      </c>
      <c r="F22" s="115">
        <v>8</v>
      </c>
      <c r="G22" s="115">
        <v>16</v>
      </c>
      <c r="H22" s="55">
        <f t="shared" si="1"/>
        <v>8</v>
      </c>
      <c r="I22" s="55">
        <f t="shared" si="2"/>
        <v>0</v>
      </c>
      <c r="J22" s="56">
        <f t="shared" si="3"/>
        <v>0</v>
      </c>
      <c r="K22" s="57">
        <f t="shared" si="34"/>
        <v>1</v>
      </c>
      <c r="L22" s="57">
        <f t="shared" si="17"/>
        <v>0</v>
      </c>
      <c r="M22" s="58" t="str">
        <f t="shared" si="4"/>
        <v>przerwa1</v>
      </c>
      <c r="N22" s="57">
        <f t="shared" si="18"/>
        <v>1</v>
      </c>
      <c r="O22" s="138"/>
      <c r="P22" s="149"/>
      <c r="Q22" s="138"/>
      <c r="R22" s="8"/>
      <c r="S22" s="60">
        <f t="shared" si="5"/>
        <v>0</v>
      </c>
      <c r="T22" s="60" t="str">
        <f t="shared" si="19"/>
        <v xml:space="preserve"> </v>
      </c>
      <c r="U22" s="60" t="str">
        <f t="shared" si="20"/>
        <v xml:space="preserve"> </v>
      </c>
      <c r="W22">
        <f t="shared" si="21"/>
        <v>480</v>
      </c>
      <c r="X22">
        <f t="shared" si="22"/>
        <v>0</v>
      </c>
      <c r="Y22">
        <f t="shared" si="23"/>
        <v>480</v>
      </c>
      <c r="AD22" s="158">
        <f t="shared" si="25"/>
        <v>8</v>
      </c>
      <c r="AE22" s="158">
        <f t="shared" si="26"/>
        <v>0</v>
      </c>
      <c r="AF22" s="64">
        <f t="shared" si="27"/>
        <v>8</v>
      </c>
      <c r="AG22" s="169">
        <f t="shared" si="28"/>
        <v>16</v>
      </c>
      <c r="AH22" s="169">
        <f t="shared" si="29"/>
        <v>0</v>
      </c>
      <c r="AI22" s="64">
        <f t="shared" si="30"/>
        <v>16</v>
      </c>
      <c r="AJ22" s="169">
        <f t="shared" si="31"/>
        <v>8</v>
      </c>
      <c r="AK22" s="169">
        <f t="shared" si="32"/>
        <v>0</v>
      </c>
      <c r="AL22" s="64">
        <f t="shared" si="33"/>
        <v>8</v>
      </c>
    </row>
    <row r="23" spans="1:38" ht="15.75" x14ac:dyDescent="0.25">
      <c r="A23" s="2">
        <f t="shared" si="24"/>
        <v>46094</v>
      </c>
      <c r="B23" s="2">
        <f t="shared" si="15"/>
        <v>84</v>
      </c>
      <c r="C23" s="54" t="str">
        <f t="shared" si="0"/>
        <v>13.3. piątek</v>
      </c>
      <c r="D23" s="159"/>
      <c r="E23" s="117" t="str">
        <f t="shared" si="16"/>
        <v xml:space="preserve"> </v>
      </c>
      <c r="F23" s="115">
        <v>8</v>
      </c>
      <c r="G23" s="115">
        <v>16</v>
      </c>
      <c r="H23" s="55">
        <f t="shared" si="1"/>
        <v>8</v>
      </c>
      <c r="I23" s="55">
        <f t="shared" si="2"/>
        <v>0</v>
      </c>
      <c r="J23" s="56">
        <f t="shared" si="3"/>
        <v>0</v>
      </c>
      <c r="K23" s="57">
        <f t="shared" si="34"/>
        <v>1</v>
      </c>
      <c r="L23" s="57">
        <f t="shared" si="17"/>
        <v>0</v>
      </c>
      <c r="M23" s="58" t="str">
        <f t="shared" si="4"/>
        <v>przerwa1</v>
      </c>
      <c r="N23" s="57">
        <f t="shared" si="18"/>
        <v>1</v>
      </c>
      <c r="O23" s="138"/>
      <c r="P23" s="149"/>
      <c r="Q23" s="138"/>
      <c r="R23" s="8"/>
      <c r="S23" s="60">
        <f t="shared" si="5"/>
        <v>0</v>
      </c>
      <c r="T23" s="60" t="str">
        <f t="shared" si="19"/>
        <v xml:space="preserve"> </v>
      </c>
      <c r="U23" s="60" t="str">
        <f t="shared" si="20"/>
        <v xml:space="preserve"> </v>
      </c>
      <c r="W23">
        <f t="shared" si="21"/>
        <v>480</v>
      </c>
      <c r="X23">
        <f t="shared" si="22"/>
        <v>0</v>
      </c>
      <c r="Y23">
        <f t="shared" si="23"/>
        <v>480</v>
      </c>
      <c r="AD23" s="158">
        <f t="shared" si="25"/>
        <v>8</v>
      </c>
      <c r="AE23" s="158">
        <f t="shared" si="26"/>
        <v>0</v>
      </c>
      <c r="AF23" s="64">
        <f t="shared" si="27"/>
        <v>8</v>
      </c>
      <c r="AG23" s="169">
        <f t="shared" si="28"/>
        <v>16</v>
      </c>
      <c r="AH23" s="169">
        <f t="shared" si="29"/>
        <v>0</v>
      </c>
      <c r="AI23" s="64">
        <f t="shared" si="30"/>
        <v>16</v>
      </c>
      <c r="AJ23" s="169">
        <f t="shared" si="31"/>
        <v>8</v>
      </c>
      <c r="AK23" s="169">
        <f t="shared" si="32"/>
        <v>0</v>
      </c>
      <c r="AL23" s="64">
        <f t="shared" si="33"/>
        <v>8</v>
      </c>
    </row>
    <row r="24" spans="1:38" ht="15.75" x14ac:dyDescent="0.25">
      <c r="A24" s="2">
        <f t="shared" si="24"/>
        <v>46095</v>
      </c>
      <c r="B24" s="2">
        <f t="shared" si="15"/>
        <v>84</v>
      </c>
      <c r="C24" s="54" t="str">
        <f t="shared" si="0"/>
        <v>14.3. sobota</v>
      </c>
      <c r="D24" s="159" t="s">
        <v>47</v>
      </c>
      <c r="E24" s="117" t="str">
        <f t="shared" si="16"/>
        <v>wolne</v>
      </c>
      <c r="F24" s="115"/>
      <c r="G24" s="115"/>
      <c r="H24" s="55" t="str">
        <f t="shared" si="1"/>
        <v/>
      </c>
      <c r="I24" s="55" t="str">
        <f t="shared" si="2"/>
        <v/>
      </c>
      <c r="J24" s="56" t="str">
        <f t="shared" si="3"/>
        <v/>
      </c>
      <c r="K24" s="57">
        <f t="shared" si="34"/>
        <v>0</v>
      </c>
      <c r="L24" s="57">
        <f t="shared" si="17"/>
        <v>0</v>
      </c>
      <c r="M24" s="58" t="str">
        <f t="shared" si="4"/>
        <v>przerwa1</v>
      </c>
      <c r="N24" s="57">
        <f t="shared" si="18"/>
        <v>0</v>
      </c>
      <c r="O24" s="138"/>
      <c r="P24" s="149"/>
      <c r="Q24" s="138"/>
      <c r="R24" s="8"/>
      <c r="S24" s="60" t="str">
        <f t="shared" si="5"/>
        <v xml:space="preserve"> </v>
      </c>
      <c r="T24" s="60" t="str">
        <f t="shared" si="19"/>
        <v xml:space="preserve"> </v>
      </c>
      <c r="U24" s="60" t="str">
        <f t="shared" si="20"/>
        <v xml:space="preserve"> </v>
      </c>
      <c r="W24">
        <f t="shared" si="21"/>
        <v>0</v>
      </c>
      <c r="X24">
        <f t="shared" si="22"/>
        <v>0</v>
      </c>
      <c r="Y24">
        <f t="shared" si="23"/>
        <v>0</v>
      </c>
      <c r="AD24" s="158">
        <f t="shared" si="25"/>
        <v>0</v>
      </c>
      <c r="AE24" s="158">
        <f t="shared" si="26"/>
        <v>0</v>
      </c>
      <c r="AF24" s="64" t="str">
        <f t="shared" si="27"/>
        <v xml:space="preserve"> </v>
      </c>
      <c r="AG24" s="169">
        <f t="shared" si="28"/>
        <v>0</v>
      </c>
      <c r="AH24" s="169">
        <f t="shared" si="29"/>
        <v>0</v>
      </c>
      <c r="AI24" s="64" t="str">
        <f t="shared" si="30"/>
        <v xml:space="preserve"> </v>
      </c>
      <c r="AJ24" s="169" t="str">
        <f t="shared" si="31"/>
        <v/>
      </c>
      <c r="AK24" s="169" t="str">
        <f t="shared" si="32"/>
        <v/>
      </c>
      <c r="AL24" s="64" t="str">
        <f t="shared" si="33"/>
        <v xml:space="preserve"> </v>
      </c>
    </row>
    <row r="25" spans="1:38" ht="15.75" x14ac:dyDescent="0.25">
      <c r="A25" s="2">
        <f t="shared" si="24"/>
        <v>46096</v>
      </c>
      <c r="B25" s="2">
        <f t="shared" si="15"/>
        <v>84</v>
      </c>
      <c r="C25" s="54" t="str">
        <f t="shared" si="0"/>
        <v>15.3. niedziela</v>
      </c>
      <c r="D25" s="159" t="s">
        <v>47</v>
      </c>
      <c r="E25" s="117" t="str">
        <f t="shared" si="16"/>
        <v>wolne</v>
      </c>
      <c r="F25" s="115"/>
      <c r="G25" s="115"/>
      <c r="H25" s="55" t="str">
        <f t="shared" si="1"/>
        <v/>
      </c>
      <c r="I25" s="55" t="str">
        <f t="shared" si="2"/>
        <v/>
      </c>
      <c r="J25" s="56" t="str">
        <f t="shared" si="3"/>
        <v/>
      </c>
      <c r="K25" s="57">
        <f t="shared" si="34"/>
        <v>0</v>
      </c>
      <c r="L25" s="57">
        <f t="shared" si="17"/>
        <v>0</v>
      </c>
      <c r="M25" s="58" t="str">
        <f t="shared" si="4"/>
        <v>przerwa1</v>
      </c>
      <c r="N25" s="57">
        <f t="shared" si="18"/>
        <v>0</v>
      </c>
      <c r="O25" s="138"/>
      <c r="P25" s="149"/>
      <c r="Q25" s="138"/>
      <c r="R25" s="8"/>
      <c r="S25" s="60" t="str">
        <f t="shared" si="5"/>
        <v xml:space="preserve"> </v>
      </c>
      <c r="T25" s="60" t="str">
        <f t="shared" si="19"/>
        <v xml:space="preserve"> </v>
      </c>
      <c r="U25" s="60" t="str">
        <f t="shared" si="20"/>
        <v xml:space="preserve"> </v>
      </c>
      <c r="W25">
        <f t="shared" si="21"/>
        <v>0</v>
      </c>
      <c r="X25">
        <f t="shared" si="22"/>
        <v>0</v>
      </c>
      <c r="Y25">
        <f t="shared" si="23"/>
        <v>0</v>
      </c>
      <c r="AD25" s="158">
        <f t="shared" si="25"/>
        <v>0</v>
      </c>
      <c r="AE25" s="158">
        <f t="shared" si="26"/>
        <v>0</v>
      </c>
      <c r="AF25" s="64" t="str">
        <f t="shared" si="27"/>
        <v xml:space="preserve"> </v>
      </c>
      <c r="AG25" s="169">
        <f t="shared" si="28"/>
        <v>0</v>
      </c>
      <c r="AH25" s="169">
        <f t="shared" si="29"/>
        <v>0</v>
      </c>
      <c r="AI25" s="64" t="str">
        <f t="shared" si="30"/>
        <v xml:space="preserve"> </v>
      </c>
      <c r="AJ25" s="169" t="str">
        <f t="shared" si="31"/>
        <v/>
      </c>
      <c r="AK25" s="169" t="str">
        <f t="shared" si="32"/>
        <v/>
      </c>
      <c r="AL25" s="64" t="str">
        <f t="shared" si="33"/>
        <v xml:space="preserve"> </v>
      </c>
    </row>
    <row r="26" spans="1:38" ht="15.75" x14ac:dyDescent="0.25">
      <c r="A26" s="2">
        <f t="shared" si="24"/>
        <v>46097</v>
      </c>
      <c r="B26" s="2">
        <f t="shared" si="15"/>
        <v>84</v>
      </c>
      <c r="C26" s="54" t="str">
        <f t="shared" si="0"/>
        <v>16.3. poniedziałek</v>
      </c>
      <c r="D26" s="159"/>
      <c r="E26" s="117" t="str">
        <f t="shared" si="16"/>
        <v xml:space="preserve"> </v>
      </c>
      <c r="F26" s="115">
        <v>8</v>
      </c>
      <c r="G26" s="115">
        <v>16</v>
      </c>
      <c r="H26" s="55">
        <f t="shared" si="1"/>
        <v>8</v>
      </c>
      <c r="I26" s="55">
        <f t="shared" si="2"/>
        <v>0</v>
      </c>
      <c r="J26" s="56">
        <f t="shared" si="3"/>
        <v>0</v>
      </c>
      <c r="K26" s="57">
        <f t="shared" si="34"/>
        <v>1</v>
      </c>
      <c r="L26" s="57">
        <f t="shared" si="17"/>
        <v>0</v>
      </c>
      <c r="M26" s="58" t="str">
        <f t="shared" si="4"/>
        <v>przerwa1</v>
      </c>
      <c r="N26" s="57">
        <f t="shared" si="18"/>
        <v>1</v>
      </c>
      <c r="O26" s="138"/>
      <c r="P26" s="149"/>
      <c r="Q26" s="138"/>
      <c r="R26" s="8"/>
      <c r="S26" s="60">
        <f t="shared" si="5"/>
        <v>0</v>
      </c>
      <c r="T26" s="60" t="str">
        <f t="shared" si="19"/>
        <v xml:space="preserve"> </v>
      </c>
      <c r="U26" s="60" t="str">
        <f t="shared" si="20"/>
        <v xml:space="preserve"> </v>
      </c>
      <c r="W26">
        <f t="shared" si="21"/>
        <v>480</v>
      </c>
      <c r="X26">
        <f t="shared" si="22"/>
        <v>0</v>
      </c>
      <c r="Y26">
        <f t="shared" si="23"/>
        <v>480</v>
      </c>
      <c r="AD26" s="158">
        <f t="shared" si="25"/>
        <v>8</v>
      </c>
      <c r="AE26" s="158">
        <f t="shared" si="26"/>
        <v>0</v>
      </c>
      <c r="AF26" s="64">
        <f t="shared" si="27"/>
        <v>8</v>
      </c>
      <c r="AG26" s="169">
        <f t="shared" si="28"/>
        <v>16</v>
      </c>
      <c r="AH26" s="169">
        <f t="shared" si="29"/>
        <v>0</v>
      </c>
      <c r="AI26" s="64">
        <f t="shared" si="30"/>
        <v>16</v>
      </c>
      <c r="AJ26" s="169">
        <f t="shared" si="31"/>
        <v>8</v>
      </c>
      <c r="AK26" s="169">
        <f t="shared" si="32"/>
        <v>0</v>
      </c>
      <c r="AL26" s="64">
        <f t="shared" si="33"/>
        <v>8</v>
      </c>
    </row>
    <row r="27" spans="1:38" ht="15.75" x14ac:dyDescent="0.25">
      <c r="A27" s="2">
        <f t="shared" si="24"/>
        <v>46098</v>
      </c>
      <c r="B27" s="2">
        <f t="shared" si="15"/>
        <v>84</v>
      </c>
      <c r="C27" s="54" t="str">
        <f t="shared" si="0"/>
        <v>17.3. wtorek</v>
      </c>
      <c r="D27" s="159"/>
      <c r="E27" s="117" t="str">
        <f t="shared" si="16"/>
        <v xml:space="preserve"> </v>
      </c>
      <c r="F27" s="115">
        <v>8</v>
      </c>
      <c r="G27" s="115">
        <v>16</v>
      </c>
      <c r="H27" s="55">
        <f t="shared" si="1"/>
        <v>8</v>
      </c>
      <c r="I27" s="55">
        <f t="shared" si="2"/>
        <v>0</v>
      </c>
      <c r="J27" s="56">
        <f t="shared" si="3"/>
        <v>0</v>
      </c>
      <c r="K27" s="57">
        <f t="shared" si="34"/>
        <v>1</v>
      </c>
      <c r="L27" s="57">
        <f t="shared" si="17"/>
        <v>0</v>
      </c>
      <c r="M27" s="58" t="str">
        <f t="shared" si="4"/>
        <v>przerwa1</v>
      </c>
      <c r="N27" s="57">
        <f t="shared" si="18"/>
        <v>1</v>
      </c>
      <c r="O27" s="138"/>
      <c r="P27" s="149"/>
      <c r="Q27" s="138"/>
      <c r="R27" s="8"/>
      <c r="S27" s="60">
        <f t="shared" si="5"/>
        <v>0</v>
      </c>
      <c r="T27" s="60" t="str">
        <f t="shared" si="19"/>
        <v xml:space="preserve"> </v>
      </c>
      <c r="U27" s="60" t="str">
        <f t="shared" si="20"/>
        <v xml:space="preserve"> </v>
      </c>
      <c r="W27">
        <f t="shared" si="21"/>
        <v>480</v>
      </c>
      <c r="X27">
        <f t="shared" si="22"/>
        <v>0</v>
      </c>
      <c r="Y27">
        <f t="shared" si="23"/>
        <v>480</v>
      </c>
      <c r="AD27" s="158">
        <f t="shared" si="25"/>
        <v>8</v>
      </c>
      <c r="AE27" s="158">
        <f t="shared" si="26"/>
        <v>0</v>
      </c>
      <c r="AF27" s="64">
        <f t="shared" si="27"/>
        <v>8</v>
      </c>
      <c r="AG27" s="169">
        <f t="shared" si="28"/>
        <v>16</v>
      </c>
      <c r="AH27" s="169">
        <f t="shared" si="29"/>
        <v>0</v>
      </c>
      <c r="AI27" s="64">
        <f t="shared" si="30"/>
        <v>16</v>
      </c>
      <c r="AJ27" s="169">
        <f t="shared" si="31"/>
        <v>8</v>
      </c>
      <c r="AK27" s="169">
        <f t="shared" si="32"/>
        <v>0</v>
      </c>
      <c r="AL27" s="64">
        <f t="shared" si="33"/>
        <v>8</v>
      </c>
    </row>
    <row r="28" spans="1:38" ht="15.75" x14ac:dyDescent="0.25">
      <c r="A28" s="2">
        <f t="shared" si="24"/>
        <v>46099</v>
      </c>
      <c r="B28" s="2">
        <f t="shared" si="15"/>
        <v>84</v>
      </c>
      <c r="C28" s="54" t="str">
        <f t="shared" si="0"/>
        <v>18.3. środa</v>
      </c>
      <c r="D28" s="159"/>
      <c r="E28" s="117" t="str">
        <f t="shared" si="16"/>
        <v xml:space="preserve"> </v>
      </c>
      <c r="F28" s="115">
        <v>8</v>
      </c>
      <c r="G28" s="115">
        <v>16</v>
      </c>
      <c r="H28" s="55">
        <f t="shared" si="1"/>
        <v>8</v>
      </c>
      <c r="I28" s="55">
        <f t="shared" si="2"/>
        <v>0</v>
      </c>
      <c r="J28" s="56">
        <f t="shared" si="3"/>
        <v>0</v>
      </c>
      <c r="K28" s="57">
        <f t="shared" si="34"/>
        <v>1</v>
      </c>
      <c r="L28" s="57">
        <f t="shared" si="17"/>
        <v>0</v>
      </c>
      <c r="M28" s="58" t="str">
        <f t="shared" si="4"/>
        <v>przerwa1</v>
      </c>
      <c r="N28" s="57">
        <f t="shared" si="18"/>
        <v>1</v>
      </c>
      <c r="O28" s="138"/>
      <c r="P28" s="149"/>
      <c r="Q28" s="138"/>
      <c r="R28" s="8"/>
      <c r="S28" s="60">
        <f t="shared" si="5"/>
        <v>0</v>
      </c>
      <c r="T28" s="60" t="str">
        <f t="shared" si="19"/>
        <v xml:space="preserve"> </v>
      </c>
      <c r="U28" s="60" t="str">
        <f t="shared" si="20"/>
        <v xml:space="preserve"> </v>
      </c>
      <c r="W28">
        <f t="shared" si="21"/>
        <v>480</v>
      </c>
      <c r="X28">
        <f t="shared" si="22"/>
        <v>0</v>
      </c>
      <c r="Y28">
        <f t="shared" si="23"/>
        <v>480</v>
      </c>
      <c r="AD28" s="158">
        <f t="shared" si="25"/>
        <v>8</v>
      </c>
      <c r="AE28" s="158">
        <f t="shared" si="26"/>
        <v>0</v>
      </c>
      <c r="AF28" s="64">
        <f t="shared" si="27"/>
        <v>8</v>
      </c>
      <c r="AG28" s="169">
        <f t="shared" si="28"/>
        <v>16</v>
      </c>
      <c r="AH28" s="169">
        <f t="shared" si="29"/>
        <v>0</v>
      </c>
      <c r="AI28" s="64">
        <f t="shared" si="30"/>
        <v>16</v>
      </c>
      <c r="AJ28" s="169">
        <f t="shared" si="31"/>
        <v>8</v>
      </c>
      <c r="AK28" s="169">
        <f t="shared" si="32"/>
        <v>0</v>
      </c>
      <c r="AL28" s="64">
        <f t="shared" si="33"/>
        <v>8</v>
      </c>
    </row>
    <row r="29" spans="1:38" ht="15.75" x14ac:dyDescent="0.25">
      <c r="A29" s="2">
        <f t="shared" si="24"/>
        <v>46100</v>
      </c>
      <c r="B29" s="2">
        <f t="shared" si="15"/>
        <v>84</v>
      </c>
      <c r="C29" s="54" t="str">
        <f t="shared" si="0"/>
        <v>19.3. czwartek</v>
      </c>
      <c r="D29" s="159"/>
      <c r="E29" s="117" t="str">
        <f t="shared" si="16"/>
        <v xml:space="preserve"> </v>
      </c>
      <c r="F29" s="115">
        <v>8</v>
      </c>
      <c r="G29" s="115">
        <v>16</v>
      </c>
      <c r="H29" s="55">
        <f t="shared" si="1"/>
        <v>8</v>
      </c>
      <c r="I29" s="55">
        <f t="shared" si="2"/>
        <v>0</v>
      </c>
      <c r="J29" s="56">
        <f t="shared" si="3"/>
        <v>0</v>
      </c>
      <c r="K29" s="57">
        <f t="shared" si="34"/>
        <v>1</v>
      </c>
      <c r="L29" s="57">
        <f t="shared" si="17"/>
        <v>0</v>
      </c>
      <c r="M29" s="58" t="str">
        <f t="shared" si="4"/>
        <v>przerwa1</v>
      </c>
      <c r="N29" s="57">
        <f t="shared" si="18"/>
        <v>1</v>
      </c>
      <c r="O29" s="138"/>
      <c r="P29" s="149"/>
      <c r="Q29" s="138"/>
      <c r="R29" s="8"/>
      <c r="S29" s="60">
        <f t="shared" si="5"/>
        <v>0</v>
      </c>
      <c r="T29" s="60" t="str">
        <f t="shared" si="19"/>
        <v xml:space="preserve"> </v>
      </c>
      <c r="U29" s="60" t="str">
        <f t="shared" si="20"/>
        <v xml:space="preserve"> </v>
      </c>
      <c r="W29">
        <f t="shared" si="21"/>
        <v>480</v>
      </c>
      <c r="X29">
        <f t="shared" si="22"/>
        <v>0</v>
      </c>
      <c r="Y29">
        <f t="shared" si="23"/>
        <v>480</v>
      </c>
      <c r="AD29" s="158">
        <f t="shared" si="25"/>
        <v>8</v>
      </c>
      <c r="AE29" s="158">
        <f t="shared" si="26"/>
        <v>0</v>
      </c>
      <c r="AF29" s="64">
        <f t="shared" si="27"/>
        <v>8</v>
      </c>
      <c r="AG29" s="169">
        <f t="shared" si="28"/>
        <v>16</v>
      </c>
      <c r="AH29" s="169">
        <f t="shared" si="29"/>
        <v>0</v>
      </c>
      <c r="AI29" s="64">
        <f t="shared" si="30"/>
        <v>16</v>
      </c>
      <c r="AJ29" s="169">
        <f t="shared" si="31"/>
        <v>8</v>
      </c>
      <c r="AK29" s="169">
        <f t="shared" si="32"/>
        <v>0</v>
      </c>
      <c r="AL29" s="64">
        <f t="shared" si="33"/>
        <v>8</v>
      </c>
    </row>
    <row r="30" spans="1:38" ht="15.75" x14ac:dyDescent="0.25">
      <c r="A30" s="2">
        <f t="shared" si="24"/>
        <v>46101</v>
      </c>
      <c r="B30" s="2">
        <f t="shared" si="15"/>
        <v>84</v>
      </c>
      <c r="C30" s="54" t="str">
        <f t="shared" si="0"/>
        <v>20.3. piątek</v>
      </c>
      <c r="D30" s="159"/>
      <c r="E30" s="117" t="str">
        <f t="shared" si="16"/>
        <v xml:space="preserve"> </v>
      </c>
      <c r="F30" s="115">
        <v>8</v>
      </c>
      <c r="G30" s="115">
        <v>16</v>
      </c>
      <c r="H30" s="55">
        <f t="shared" si="1"/>
        <v>8</v>
      </c>
      <c r="I30" s="55">
        <f t="shared" si="2"/>
        <v>0</v>
      </c>
      <c r="J30" s="56">
        <f t="shared" si="3"/>
        <v>0</v>
      </c>
      <c r="K30" s="57">
        <f t="shared" si="34"/>
        <v>1</v>
      </c>
      <c r="L30" s="57">
        <f t="shared" si="17"/>
        <v>0</v>
      </c>
      <c r="M30" s="58" t="str">
        <f t="shared" si="4"/>
        <v>przerwa1</v>
      </c>
      <c r="N30" s="57">
        <f t="shared" si="18"/>
        <v>1</v>
      </c>
      <c r="O30" s="138"/>
      <c r="P30" s="149"/>
      <c r="Q30" s="138"/>
      <c r="R30" s="8"/>
      <c r="S30" s="60">
        <f t="shared" si="5"/>
        <v>0</v>
      </c>
      <c r="T30" s="60" t="str">
        <f t="shared" si="19"/>
        <v xml:space="preserve"> </v>
      </c>
      <c r="U30" s="60" t="str">
        <f t="shared" si="20"/>
        <v xml:space="preserve"> </v>
      </c>
      <c r="W30">
        <f t="shared" si="21"/>
        <v>480</v>
      </c>
      <c r="X30">
        <f t="shared" si="22"/>
        <v>0</v>
      </c>
      <c r="Y30">
        <f t="shared" si="23"/>
        <v>480</v>
      </c>
      <c r="AD30" s="158">
        <f t="shared" si="25"/>
        <v>8</v>
      </c>
      <c r="AE30" s="158">
        <f t="shared" si="26"/>
        <v>0</v>
      </c>
      <c r="AF30" s="64">
        <f t="shared" si="27"/>
        <v>8</v>
      </c>
      <c r="AG30" s="169">
        <f t="shared" si="28"/>
        <v>16</v>
      </c>
      <c r="AH30" s="169">
        <f t="shared" si="29"/>
        <v>0</v>
      </c>
      <c r="AI30" s="64">
        <f t="shared" si="30"/>
        <v>16</v>
      </c>
      <c r="AJ30" s="169">
        <f t="shared" si="31"/>
        <v>8</v>
      </c>
      <c r="AK30" s="169">
        <f t="shared" si="32"/>
        <v>0</v>
      </c>
      <c r="AL30" s="64">
        <f t="shared" si="33"/>
        <v>8</v>
      </c>
    </row>
    <row r="31" spans="1:38" ht="15.75" x14ac:dyDescent="0.25">
      <c r="A31" s="2">
        <f t="shared" si="24"/>
        <v>46102</v>
      </c>
      <c r="B31" s="2">
        <f t="shared" si="15"/>
        <v>84</v>
      </c>
      <c r="C31" s="54" t="str">
        <f t="shared" si="0"/>
        <v>21.3. sobota</v>
      </c>
      <c r="D31" s="159" t="s">
        <v>47</v>
      </c>
      <c r="E31" s="117" t="str">
        <f t="shared" si="16"/>
        <v>wolne</v>
      </c>
      <c r="F31" s="115"/>
      <c r="G31" s="115"/>
      <c r="H31" s="55" t="str">
        <f t="shared" si="1"/>
        <v/>
      </c>
      <c r="I31" s="55" t="str">
        <f t="shared" si="2"/>
        <v/>
      </c>
      <c r="J31" s="56" t="str">
        <f t="shared" si="3"/>
        <v/>
      </c>
      <c r="K31" s="57">
        <f t="shared" si="34"/>
        <v>0</v>
      </c>
      <c r="L31" s="57">
        <f t="shared" si="17"/>
        <v>0</v>
      </c>
      <c r="M31" s="58" t="str">
        <f t="shared" si="4"/>
        <v>przerwa1</v>
      </c>
      <c r="N31" s="57">
        <f t="shared" si="18"/>
        <v>0</v>
      </c>
      <c r="O31" s="138"/>
      <c r="P31" s="149"/>
      <c r="Q31" s="138"/>
      <c r="R31" s="8"/>
      <c r="S31" s="60" t="str">
        <f t="shared" si="5"/>
        <v xml:space="preserve"> </v>
      </c>
      <c r="T31" s="60" t="str">
        <f t="shared" si="19"/>
        <v xml:space="preserve"> </v>
      </c>
      <c r="U31" s="60" t="str">
        <f t="shared" si="20"/>
        <v xml:space="preserve"> </v>
      </c>
      <c r="W31">
        <f t="shared" si="21"/>
        <v>0</v>
      </c>
      <c r="X31">
        <f t="shared" si="22"/>
        <v>0</v>
      </c>
      <c r="Y31">
        <f t="shared" si="23"/>
        <v>0</v>
      </c>
      <c r="AD31" s="158">
        <f t="shared" si="25"/>
        <v>0</v>
      </c>
      <c r="AE31" s="158">
        <f t="shared" si="26"/>
        <v>0</v>
      </c>
      <c r="AF31" s="64" t="str">
        <f t="shared" si="27"/>
        <v xml:space="preserve"> </v>
      </c>
      <c r="AG31" s="169">
        <f t="shared" si="28"/>
        <v>0</v>
      </c>
      <c r="AH31" s="169">
        <f t="shared" si="29"/>
        <v>0</v>
      </c>
      <c r="AI31" s="64" t="str">
        <f t="shared" si="30"/>
        <v xml:space="preserve"> </v>
      </c>
      <c r="AJ31" s="169" t="str">
        <f t="shared" si="31"/>
        <v/>
      </c>
      <c r="AK31" s="169" t="str">
        <f t="shared" si="32"/>
        <v/>
      </c>
      <c r="AL31" s="64" t="str">
        <f t="shared" si="33"/>
        <v xml:space="preserve"> </v>
      </c>
    </row>
    <row r="32" spans="1:38" ht="15.75" x14ac:dyDescent="0.25">
      <c r="A32" s="2">
        <f t="shared" si="24"/>
        <v>46103</v>
      </c>
      <c r="B32" s="2">
        <f t="shared" si="15"/>
        <v>84</v>
      </c>
      <c r="C32" s="54" t="str">
        <f t="shared" si="0"/>
        <v>22.3. niedziela</v>
      </c>
      <c r="D32" s="159" t="s">
        <v>47</v>
      </c>
      <c r="E32" s="117" t="str">
        <f t="shared" si="16"/>
        <v>wolne</v>
      </c>
      <c r="F32" s="115"/>
      <c r="G32" s="115"/>
      <c r="H32" s="55" t="str">
        <f t="shared" si="1"/>
        <v/>
      </c>
      <c r="I32" s="55" t="str">
        <f t="shared" si="2"/>
        <v/>
      </c>
      <c r="J32" s="56" t="str">
        <f t="shared" si="3"/>
        <v/>
      </c>
      <c r="K32" s="57">
        <f t="shared" si="34"/>
        <v>0</v>
      </c>
      <c r="L32" s="57">
        <f t="shared" si="17"/>
        <v>0</v>
      </c>
      <c r="M32" s="58" t="str">
        <f t="shared" si="4"/>
        <v>przerwa1</v>
      </c>
      <c r="N32" s="57">
        <f t="shared" si="18"/>
        <v>0</v>
      </c>
      <c r="O32" s="138"/>
      <c r="P32" s="149"/>
      <c r="Q32" s="138"/>
      <c r="R32" s="8"/>
      <c r="S32" s="60" t="str">
        <f t="shared" si="5"/>
        <v xml:space="preserve"> </v>
      </c>
      <c r="T32" s="60" t="str">
        <f t="shared" si="19"/>
        <v xml:space="preserve"> </v>
      </c>
      <c r="U32" s="60" t="str">
        <f t="shared" si="20"/>
        <v xml:space="preserve"> </v>
      </c>
      <c r="W32">
        <f t="shared" si="21"/>
        <v>0</v>
      </c>
      <c r="X32">
        <f t="shared" si="22"/>
        <v>0</v>
      </c>
      <c r="Y32">
        <f t="shared" si="23"/>
        <v>0</v>
      </c>
      <c r="AD32" s="158">
        <f t="shared" si="25"/>
        <v>0</v>
      </c>
      <c r="AE32" s="158">
        <f t="shared" si="26"/>
        <v>0</v>
      </c>
      <c r="AF32" s="64" t="str">
        <f t="shared" si="27"/>
        <v xml:space="preserve"> </v>
      </c>
      <c r="AG32" s="169">
        <f t="shared" si="28"/>
        <v>0</v>
      </c>
      <c r="AH32" s="169">
        <f t="shared" si="29"/>
        <v>0</v>
      </c>
      <c r="AI32" s="64" t="str">
        <f t="shared" si="30"/>
        <v xml:space="preserve"> </v>
      </c>
      <c r="AJ32" s="169" t="str">
        <f t="shared" si="31"/>
        <v/>
      </c>
      <c r="AK32" s="169" t="str">
        <f t="shared" si="32"/>
        <v/>
      </c>
      <c r="AL32" s="64" t="str">
        <f t="shared" si="33"/>
        <v xml:space="preserve"> </v>
      </c>
    </row>
    <row r="33" spans="1:38" ht="15.75" x14ac:dyDescent="0.25">
      <c r="A33" s="2">
        <f t="shared" si="24"/>
        <v>46104</v>
      </c>
      <c r="B33" s="2">
        <f t="shared" si="15"/>
        <v>84</v>
      </c>
      <c r="C33" s="54" t="str">
        <f t="shared" si="0"/>
        <v>23.3. poniedziałek</v>
      </c>
      <c r="D33" s="159"/>
      <c r="E33" s="117" t="str">
        <f t="shared" si="16"/>
        <v xml:space="preserve"> </v>
      </c>
      <c r="F33" s="115">
        <v>8</v>
      </c>
      <c r="G33" s="115">
        <v>16</v>
      </c>
      <c r="H33" s="55">
        <f t="shared" si="1"/>
        <v>8</v>
      </c>
      <c r="I33" s="55">
        <f t="shared" si="2"/>
        <v>0</v>
      </c>
      <c r="J33" s="56">
        <f t="shared" si="3"/>
        <v>0</v>
      </c>
      <c r="K33" s="57">
        <f t="shared" si="34"/>
        <v>1</v>
      </c>
      <c r="L33" s="57">
        <f t="shared" si="17"/>
        <v>0</v>
      </c>
      <c r="M33" s="58" t="str">
        <f t="shared" si="4"/>
        <v>przerwa1</v>
      </c>
      <c r="N33" s="57">
        <f t="shared" si="18"/>
        <v>1</v>
      </c>
      <c r="O33" s="138"/>
      <c r="P33" s="149"/>
      <c r="Q33" s="138"/>
      <c r="R33" s="8"/>
      <c r="S33" s="60">
        <f t="shared" si="5"/>
        <v>0</v>
      </c>
      <c r="T33" s="60" t="str">
        <f t="shared" si="19"/>
        <v xml:space="preserve"> </v>
      </c>
      <c r="U33" s="60" t="str">
        <f t="shared" si="20"/>
        <v xml:space="preserve"> </v>
      </c>
      <c r="W33">
        <f t="shared" si="21"/>
        <v>480</v>
      </c>
      <c r="X33">
        <f t="shared" si="22"/>
        <v>0</v>
      </c>
      <c r="Y33">
        <f t="shared" si="23"/>
        <v>480</v>
      </c>
      <c r="AD33" s="158">
        <f t="shared" si="25"/>
        <v>8</v>
      </c>
      <c r="AE33" s="158">
        <f t="shared" si="26"/>
        <v>0</v>
      </c>
      <c r="AF33" s="64">
        <f t="shared" si="27"/>
        <v>8</v>
      </c>
      <c r="AG33" s="169">
        <f t="shared" si="28"/>
        <v>16</v>
      </c>
      <c r="AH33" s="169">
        <f t="shared" si="29"/>
        <v>0</v>
      </c>
      <c r="AI33" s="64">
        <f t="shared" si="30"/>
        <v>16</v>
      </c>
      <c r="AJ33" s="169">
        <f t="shared" si="31"/>
        <v>8</v>
      </c>
      <c r="AK33" s="169">
        <f t="shared" si="32"/>
        <v>0</v>
      </c>
      <c r="AL33" s="64">
        <f t="shared" si="33"/>
        <v>8</v>
      </c>
    </row>
    <row r="34" spans="1:38" ht="15.75" x14ac:dyDescent="0.25">
      <c r="A34" s="2">
        <f t="shared" si="24"/>
        <v>46105</v>
      </c>
      <c r="B34" s="2">
        <f t="shared" si="15"/>
        <v>84</v>
      </c>
      <c r="C34" s="54" t="str">
        <f t="shared" si="0"/>
        <v>24.3. wtorek</v>
      </c>
      <c r="D34" s="159"/>
      <c r="E34" s="117" t="str">
        <f t="shared" si="16"/>
        <v xml:space="preserve"> </v>
      </c>
      <c r="F34" s="115">
        <v>8</v>
      </c>
      <c r="G34" s="115">
        <v>16</v>
      </c>
      <c r="H34" s="55">
        <f t="shared" si="1"/>
        <v>8</v>
      </c>
      <c r="I34" s="55">
        <f t="shared" si="2"/>
        <v>0</v>
      </c>
      <c r="J34" s="56">
        <f t="shared" si="3"/>
        <v>0</v>
      </c>
      <c r="K34" s="57">
        <f t="shared" si="34"/>
        <v>1</v>
      </c>
      <c r="L34" s="57">
        <f t="shared" si="17"/>
        <v>0</v>
      </c>
      <c r="M34" s="58" t="str">
        <f t="shared" si="4"/>
        <v>przerwa1</v>
      </c>
      <c r="N34" s="57">
        <f t="shared" si="18"/>
        <v>1</v>
      </c>
      <c r="O34" s="138"/>
      <c r="P34" s="149"/>
      <c r="Q34" s="138"/>
      <c r="R34" s="8"/>
      <c r="S34" s="60">
        <f t="shared" si="5"/>
        <v>0</v>
      </c>
      <c r="T34" s="60" t="str">
        <f t="shared" si="19"/>
        <v xml:space="preserve"> </v>
      </c>
      <c r="U34" s="60" t="str">
        <f t="shared" si="20"/>
        <v xml:space="preserve"> </v>
      </c>
      <c r="W34">
        <f t="shared" si="21"/>
        <v>480</v>
      </c>
      <c r="X34">
        <f t="shared" si="22"/>
        <v>0</v>
      </c>
      <c r="Y34">
        <f t="shared" si="23"/>
        <v>480</v>
      </c>
      <c r="AD34" s="158">
        <f t="shared" si="25"/>
        <v>8</v>
      </c>
      <c r="AE34" s="158">
        <f t="shared" si="26"/>
        <v>0</v>
      </c>
      <c r="AF34" s="64">
        <f t="shared" si="27"/>
        <v>8</v>
      </c>
      <c r="AG34" s="169">
        <f t="shared" si="28"/>
        <v>16</v>
      </c>
      <c r="AH34" s="169">
        <f t="shared" si="29"/>
        <v>0</v>
      </c>
      <c r="AI34" s="64">
        <f t="shared" si="30"/>
        <v>16</v>
      </c>
      <c r="AJ34" s="169">
        <f t="shared" si="31"/>
        <v>8</v>
      </c>
      <c r="AK34" s="169">
        <f t="shared" si="32"/>
        <v>0</v>
      </c>
      <c r="AL34" s="64">
        <f t="shared" si="33"/>
        <v>8</v>
      </c>
    </row>
    <row r="35" spans="1:38" ht="15.75" x14ac:dyDescent="0.25">
      <c r="A35" s="2">
        <f t="shared" si="24"/>
        <v>46106</v>
      </c>
      <c r="B35" s="2">
        <f t="shared" si="15"/>
        <v>84</v>
      </c>
      <c r="C35" s="54" t="str">
        <f t="shared" si="0"/>
        <v>25.3. środa</v>
      </c>
      <c r="D35" s="159"/>
      <c r="E35" s="117" t="str">
        <f t="shared" si="16"/>
        <v xml:space="preserve"> </v>
      </c>
      <c r="F35" s="115">
        <v>8</v>
      </c>
      <c r="G35" s="115">
        <v>16</v>
      </c>
      <c r="H35" s="55">
        <f t="shared" si="1"/>
        <v>8</v>
      </c>
      <c r="I35" s="55">
        <f t="shared" si="2"/>
        <v>0</v>
      </c>
      <c r="J35" s="56">
        <f t="shared" si="3"/>
        <v>0</v>
      </c>
      <c r="K35" s="57">
        <f t="shared" si="34"/>
        <v>1</v>
      </c>
      <c r="L35" s="57">
        <f t="shared" si="17"/>
        <v>0</v>
      </c>
      <c r="M35" s="58" t="str">
        <f t="shared" si="4"/>
        <v>przerwa1</v>
      </c>
      <c r="N35" s="57">
        <f t="shared" si="18"/>
        <v>1</v>
      </c>
      <c r="O35" s="138"/>
      <c r="P35" s="149"/>
      <c r="Q35" s="138"/>
      <c r="R35" s="8"/>
      <c r="S35" s="60">
        <f t="shared" si="5"/>
        <v>0</v>
      </c>
      <c r="T35" s="60" t="str">
        <f t="shared" si="19"/>
        <v xml:space="preserve"> </v>
      </c>
      <c r="U35" s="60" t="str">
        <f t="shared" si="20"/>
        <v xml:space="preserve"> </v>
      </c>
      <c r="W35">
        <f t="shared" si="21"/>
        <v>480</v>
      </c>
      <c r="X35">
        <f t="shared" si="22"/>
        <v>0</v>
      </c>
      <c r="Y35">
        <f t="shared" si="23"/>
        <v>480</v>
      </c>
      <c r="AD35" s="158">
        <f t="shared" si="25"/>
        <v>8</v>
      </c>
      <c r="AE35" s="158">
        <f t="shared" si="26"/>
        <v>0</v>
      </c>
      <c r="AF35" s="64">
        <f t="shared" si="27"/>
        <v>8</v>
      </c>
      <c r="AG35" s="169">
        <f t="shared" si="28"/>
        <v>16</v>
      </c>
      <c r="AH35" s="169">
        <f t="shared" si="29"/>
        <v>0</v>
      </c>
      <c r="AI35" s="64">
        <f t="shared" si="30"/>
        <v>16</v>
      </c>
      <c r="AJ35" s="169">
        <f t="shared" si="31"/>
        <v>8</v>
      </c>
      <c r="AK35" s="169">
        <f t="shared" si="32"/>
        <v>0</v>
      </c>
      <c r="AL35" s="64">
        <f t="shared" si="33"/>
        <v>8</v>
      </c>
    </row>
    <row r="36" spans="1:38" ht="15.75" x14ac:dyDescent="0.25">
      <c r="A36" s="2">
        <f t="shared" si="24"/>
        <v>46107</v>
      </c>
      <c r="B36" s="2">
        <f t="shared" si="15"/>
        <v>84</v>
      </c>
      <c r="C36" s="54" t="str">
        <f t="shared" si="0"/>
        <v>26.3. czwartek</v>
      </c>
      <c r="D36" s="159"/>
      <c r="E36" s="117" t="str">
        <f t="shared" si="16"/>
        <v xml:space="preserve"> </v>
      </c>
      <c r="F36" s="115">
        <v>8</v>
      </c>
      <c r="G36" s="115">
        <v>16</v>
      </c>
      <c r="H36" s="55">
        <f t="shared" si="1"/>
        <v>8</v>
      </c>
      <c r="I36" s="55">
        <f t="shared" si="2"/>
        <v>0</v>
      </c>
      <c r="J36" s="56">
        <f t="shared" si="3"/>
        <v>0</v>
      </c>
      <c r="K36" s="57">
        <f t="shared" si="34"/>
        <v>1</v>
      </c>
      <c r="L36" s="57">
        <f t="shared" si="17"/>
        <v>0</v>
      </c>
      <c r="M36" s="58" t="str">
        <f t="shared" si="4"/>
        <v>przerwa1</v>
      </c>
      <c r="N36" s="57">
        <f t="shared" si="18"/>
        <v>1</v>
      </c>
      <c r="O36" s="138"/>
      <c r="P36" s="149"/>
      <c r="Q36" s="138"/>
      <c r="R36" s="8"/>
      <c r="S36" s="60">
        <f t="shared" si="5"/>
        <v>0</v>
      </c>
      <c r="T36" s="60" t="str">
        <f t="shared" si="19"/>
        <v xml:space="preserve"> </v>
      </c>
      <c r="U36" s="60" t="str">
        <f t="shared" si="20"/>
        <v xml:space="preserve"> </v>
      </c>
      <c r="W36">
        <f t="shared" si="21"/>
        <v>480</v>
      </c>
      <c r="X36">
        <f t="shared" si="22"/>
        <v>0</v>
      </c>
      <c r="Y36">
        <f t="shared" si="23"/>
        <v>480</v>
      </c>
      <c r="AD36" s="158">
        <f t="shared" si="25"/>
        <v>8</v>
      </c>
      <c r="AE36" s="158">
        <f t="shared" si="26"/>
        <v>0</v>
      </c>
      <c r="AF36" s="64">
        <f t="shared" si="27"/>
        <v>8</v>
      </c>
      <c r="AG36" s="169">
        <f t="shared" si="28"/>
        <v>16</v>
      </c>
      <c r="AH36" s="169">
        <f t="shared" si="29"/>
        <v>0</v>
      </c>
      <c r="AI36" s="64">
        <f t="shared" si="30"/>
        <v>16</v>
      </c>
      <c r="AJ36" s="169">
        <f t="shared" si="31"/>
        <v>8</v>
      </c>
      <c r="AK36" s="169">
        <f t="shared" si="32"/>
        <v>0</v>
      </c>
      <c r="AL36" s="64">
        <f t="shared" si="33"/>
        <v>8</v>
      </c>
    </row>
    <row r="37" spans="1:38" ht="15.75" x14ac:dyDescent="0.25">
      <c r="A37" s="2">
        <f t="shared" si="24"/>
        <v>46108</v>
      </c>
      <c r="B37" s="2">
        <f t="shared" si="15"/>
        <v>84</v>
      </c>
      <c r="C37" s="54" t="str">
        <f t="shared" si="0"/>
        <v>27.3. piątek</v>
      </c>
      <c r="D37" s="159"/>
      <c r="E37" s="117" t="str">
        <f t="shared" si="16"/>
        <v xml:space="preserve"> </v>
      </c>
      <c r="F37" s="115">
        <v>8</v>
      </c>
      <c r="G37" s="115">
        <v>16</v>
      </c>
      <c r="H37" s="55">
        <f t="shared" si="1"/>
        <v>8</v>
      </c>
      <c r="I37" s="55">
        <f t="shared" si="2"/>
        <v>0</v>
      </c>
      <c r="J37" s="56">
        <f t="shared" si="3"/>
        <v>0</v>
      </c>
      <c r="K37" s="57">
        <f t="shared" si="34"/>
        <v>1</v>
      </c>
      <c r="L37" s="57">
        <f t="shared" si="17"/>
        <v>0</v>
      </c>
      <c r="M37" s="58" t="str">
        <f t="shared" si="4"/>
        <v>przerwa1</v>
      </c>
      <c r="N37" s="57">
        <f t="shared" si="18"/>
        <v>1</v>
      </c>
      <c r="O37" s="138"/>
      <c r="P37" s="149"/>
      <c r="Q37" s="138"/>
      <c r="R37" s="8"/>
      <c r="S37" s="60">
        <f t="shared" si="5"/>
        <v>0</v>
      </c>
      <c r="T37" s="60" t="str">
        <f t="shared" si="19"/>
        <v xml:space="preserve"> </v>
      </c>
      <c r="U37" s="60" t="str">
        <f t="shared" si="20"/>
        <v xml:space="preserve"> </v>
      </c>
      <c r="W37">
        <f t="shared" si="21"/>
        <v>480</v>
      </c>
      <c r="X37">
        <f t="shared" si="22"/>
        <v>0</v>
      </c>
      <c r="Y37">
        <f t="shared" si="23"/>
        <v>480</v>
      </c>
      <c r="AD37" s="158">
        <f t="shared" si="25"/>
        <v>8</v>
      </c>
      <c r="AE37" s="158">
        <f t="shared" si="26"/>
        <v>0</v>
      </c>
      <c r="AF37" s="64">
        <f t="shared" si="27"/>
        <v>8</v>
      </c>
      <c r="AG37" s="169">
        <f t="shared" si="28"/>
        <v>16</v>
      </c>
      <c r="AH37" s="169">
        <f t="shared" si="29"/>
        <v>0</v>
      </c>
      <c r="AI37" s="64">
        <f t="shared" si="30"/>
        <v>16</v>
      </c>
      <c r="AJ37" s="169">
        <f t="shared" si="31"/>
        <v>8</v>
      </c>
      <c r="AK37" s="169">
        <f t="shared" si="32"/>
        <v>0</v>
      </c>
      <c r="AL37" s="64">
        <f t="shared" si="33"/>
        <v>8</v>
      </c>
    </row>
    <row r="38" spans="1:38" ht="15.75" x14ac:dyDescent="0.25">
      <c r="A38" s="2">
        <f t="shared" si="24"/>
        <v>46109</v>
      </c>
      <c r="B38" s="2">
        <f t="shared" si="15"/>
        <v>84</v>
      </c>
      <c r="C38" s="54" t="str">
        <f t="shared" si="0"/>
        <v>28.3. sobota</v>
      </c>
      <c r="D38" s="159" t="s">
        <v>47</v>
      </c>
      <c r="E38" s="117" t="str">
        <f t="shared" si="16"/>
        <v>wolne</v>
      </c>
      <c r="F38" s="115"/>
      <c r="G38" s="115"/>
      <c r="H38" s="55" t="str">
        <f t="shared" si="1"/>
        <v/>
      </c>
      <c r="I38" s="55" t="str">
        <f t="shared" si="2"/>
        <v/>
      </c>
      <c r="J38" s="56" t="str">
        <f t="shared" si="3"/>
        <v/>
      </c>
      <c r="K38" s="57">
        <f t="shared" si="34"/>
        <v>0</v>
      </c>
      <c r="L38" s="57">
        <f t="shared" si="17"/>
        <v>0</v>
      </c>
      <c r="M38" s="58" t="str">
        <f t="shared" si="4"/>
        <v>przerwa1</v>
      </c>
      <c r="N38" s="57">
        <f t="shared" si="18"/>
        <v>0</v>
      </c>
      <c r="O38" s="138"/>
      <c r="P38" s="149"/>
      <c r="Q38" s="138"/>
      <c r="R38" s="8"/>
      <c r="S38" s="60" t="str">
        <f t="shared" si="5"/>
        <v xml:space="preserve"> </v>
      </c>
      <c r="T38" s="60" t="str">
        <f t="shared" si="19"/>
        <v xml:space="preserve"> </v>
      </c>
      <c r="U38" s="60" t="str">
        <f t="shared" si="20"/>
        <v xml:space="preserve"> </v>
      </c>
      <c r="W38">
        <f t="shared" si="21"/>
        <v>0</v>
      </c>
      <c r="X38">
        <f t="shared" si="22"/>
        <v>0</v>
      </c>
      <c r="Y38">
        <f t="shared" si="23"/>
        <v>0</v>
      </c>
      <c r="AD38" s="158">
        <f t="shared" si="25"/>
        <v>0</v>
      </c>
      <c r="AE38" s="158">
        <f t="shared" si="26"/>
        <v>0</v>
      </c>
      <c r="AF38" s="64" t="str">
        <f t="shared" si="27"/>
        <v xml:space="preserve"> </v>
      </c>
      <c r="AG38" s="169">
        <f t="shared" si="28"/>
        <v>0</v>
      </c>
      <c r="AH38" s="169">
        <f t="shared" si="29"/>
        <v>0</v>
      </c>
      <c r="AI38" s="64" t="str">
        <f t="shared" si="30"/>
        <v xml:space="preserve"> </v>
      </c>
      <c r="AJ38" s="169" t="str">
        <f t="shared" si="31"/>
        <v/>
      </c>
      <c r="AK38" s="169" t="str">
        <f t="shared" si="32"/>
        <v/>
      </c>
      <c r="AL38" s="64" t="str">
        <f t="shared" si="33"/>
        <v xml:space="preserve"> </v>
      </c>
    </row>
    <row r="39" spans="1:38" ht="15.75" x14ac:dyDescent="0.25">
      <c r="A39" s="2">
        <f t="shared" si="24"/>
        <v>46110</v>
      </c>
      <c r="B39" s="2">
        <f t="shared" si="15"/>
        <v>84</v>
      </c>
      <c r="C39" s="54" t="str">
        <f t="shared" si="0"/>
        <v>29.3. niedziela</v>
      </c>
      <c r="D39" s="159" t="s">
        <v>47</v>
      </c>
      <c r="E39" s="117" t="str">
        <f t="shared" si="16"/>
        <v>wolne</v>
      </c>
      <c r="F39" s="115"/>
      <c r="G39" s="115"/>
      <c r="H39" s="55" t="str">
        <f t="shared" si="1"/>
        <v/>
      </c>
      <c r="I39" s="55" t="str">
        <f t="shared" si="2"/>
        <v/>
      </c>
      <c r="J39" s="56" t="str">
        <f t="shared" si="3"/>
        <v/>
      </c>
      <c r="K39" s="57">
        <f t="shared" si="34"/>
        <v>0</v>
      </c>
      <c r="L39" s="57">
        <f t="shared" si="17"/>
        <v>0</v>
      </c>
      <c r="M39" s="58" t="str">
        <f t="shared" si="4"/>
        <v>przerwa1</v>
      </c>
      <c r="N39" s="57">
        <f t="shared" si="18"/>
        <v>0</v>
      </c>
      <c r="O39" s="138"/>
      <c r="P39" s="149"/>
      <c r="Q39" s="138"/>
      <c r="R39" s="8"/>
      <c r="S39" s="60" t="str">
        <f t="shared" si="5"/>
        <v xml:space="preserve"> </v>
      </c>
      <c r="T39" s="60" t="str">
        <f t="shared" si="19"/>
        <v xml:space="preserve"> </v>
      </c>
      <c r="U39" s="60" t="str">
        <f t="shared" si="20"/>
        <v xml:space="preserve"> </v>
      </c>
      <c r="W39">
        <f t="shared" si="21"/>
        <v>0</v>
      </c>
      <c r="X39">
        <f t="shared" si="22"/>
        <v>0</v>
      </c>
      <c r="Y39">
        <f t="shared" si="23"/>
        <v>0</v>
      </c>
      <c r="AD39" s="158">
        <f t="shared" si="25"/>
        <v>0</v>
      </c>
      <c r="AE39" s="158">
        <f t="shared" si="26"/>
        <v>0</v>
      </c>
      <c r="AF39" s="64" t="str">
        <f t="shared" si="27"/>
        <v xml:space="preserve"> </v>
      </c>
      <c r="AG39" s="169">
        <f t="shared" si="28"/>
        <v>0</v>
      </c>
      <c r="AH39" s="169">
        <f t="shared" si="29"/>
        <v>0</v>
      </c>
      <c r="AI39" s="64" t="str">
        <f t="shared" si="30"/>
        <v xml:space="preserve"> </v>
      </c>
      <c r="AJ39" s="169" t="str">
        <f t="shared" si="31"/>
        <v/>
      </c>
      <c r="AK39" s="169" t="str">
        <f t="shared" si="32"/>
        <v/>
      </c>
      <c r="AL39" s="64" t="str">
        <f t="shared" si="33"/>
        <v xml:space="preserve"> </v>
      </c>
    </row>
    <row r="40" spans="1:38" ht="15.75" x14ac:dyDescent="0.25">
      <c r="A40" s="2">
        <f t="shared" si="24"/>
        <v>46111</v>
      </c>
      <c r="B40" s="2">
        <f t="shared" si="15"/>
        <v>84</v>
      </c>
      <c r="C40" s="54" t="str">
        <f t="shared" si="0"/>
        <v>30.3. poniedziałek</v>
      </c>
      <c r="D40" s="159"/>
      <c r="E40" s="117" t="str">
        <f t="shared" si="16"/>
        <v xml:space="preserve"> </v>
      </c>
      <c r="F40" s="115">
        <v>8</v>
      </c>
      <c r="G40" s="115">
        <v>16</v>
      </c>
      <c r="H40" s="55">
        <f t="shared" si="1"/>
        <v>8</v>
      </c>
      <c r="I40" s="55">
        <f t="shared" si="2"/>
        <v>0</v>
      </c>
      <c r="J40" s="56">
        <f t="shared" si="3"/>
        <v>0</v>
      </c>
      <c r="K40" s="57">
        <f t="shared" si="34"/>
        <v>1</v>
      </c>
      <c r="L40" s="57">
        <f t="shared" si="17"/>
        <v>0</v>
      </c>
      <c r="M40" s="58" t="str">
        <f t="shared" si="4"/>
        <v>przerwa1</v>
      </c>
      <c r="N40" s="57">
        <f t="shared" si="18"/>
        <v>1</v>
      </c>
      <c r="O40" s="138"/>
      <c r="P40" s="149"/>
      <c r="Q40" s="138"/>
      <c r="R40" s="8"/>
      <c r="S40" s="60">
        <f t="shared" si="5"/>
        <v>0</v>
      </c>
      <c r="T40" s="60" t="str">
        <f t="shared" si="19"/>
        <v xml:space="preserve"> </v>
      </c>
      <c r="U40" s="60" t="str">
        <f t="shared" si="20"/>
        <v xml:space="preserve"> </v>
      </c>
      <c r="W40">
        <f t="shared" si="21"/>
        <v>480</v>
      </c>
      <c r="X40">
        <f t="shared" si="22"/>
        <v>0</v>
      </c>
      <c r="Y40">
        <f t="shared" si="23"/>
        <v>480</v>
      </c>
      <c r="AD40" s="158">
        <f t="shared" si="25"/>
        <v>8</v>
      </c>
      <c r="AE40" s="158">
        <f t="shared" si="26"/>
        <v>0</v>
      </c>
      <c r="AF40" s="64">
        <f t="shared" si="27"/>
        <v>8</v>
      </c>
      <c r="AG40" s="169">
        <f t="shared" si="28"/>
        <v>16</v>
      </c>
      <c r="AH40" s="169">
        <f t="shared" si="29"/>
        <v>0</v>
      </c>
      <c r="AI40" s="64">
        <f t="shared" si="30"/>
        <v>16</v>
      </c>
      <c r="AJ40" s="169">
        <f t="shared" si="31"/>
        <v>8</v>
      </c>
      <c r="AK40" s="169">
        <f t="shared" si="32"/>
        <v>0</v>
      </c>
      <c r="AL40" s="64">
        <f t="shared" si="33"/>
        <v>8</v>
      </c>
    </row>
    <row r="41" spans="1:38" ht="15.75" x14ac:dyDescent="0.25">
      <c r="A41" s="2">
        <f t="shared" si="24"/>
        <v>46112</v>
      </c>
      <c r="B41" s="2">
        <f t="shared" si="15"/>
        <v>84</v>
      </c>
      <c r="C41" s="54" t="str">
        <f t="shared" si="0"/>
        <v>31.3. wtorek</v>
      </c>
      <c r="D41" s="159"/>
      <c r="E41" s="117" t="str">
        <f t="shared" si="16"/>
        <v xml:space="preserve"> </v>
      </c>
      <c r="F41" s="115">
        <v>8</v>
      </c>
      <c r="G41" s="115">
        <v>16</v>
      </c>
      <c r="H41" s="55">
        <f t="shared" si="1"/>
        <v>8</v>
      </c>
      <c r="I41" s="55">
        <f t="shared" si="2"/>
        <v>0</v>
      </c>
      <c r="J41" s="56">
        <f t="shared" si="3"/>
        <v>0</v>
      </c>
      <c r="K41" s="57">
        <f t="shared" si="34"/>
        <v>1</v>
      </c>
      <c r="L41" s="57">
        <f t="shared" si="17"/>
        <v>0</v>
      </c>
      <c r="M41" s="58" t="str">
        <f t="shared" si="4"/>
        <v>przerwa1</v>
      </c>
      <c r="N41" s="57">
        <f t="shared" si="18"/>
        <v>1</v>
      </c>
      <c r="O41" s="138"/>
      <c r="P41" s="149"/>
      <c r="Q41" s="138"/>
      <c r="R41" s="8"/>
      <c r="S41" s="60">
        <f t="shared" si="5"/>
        <v>0</v>
      </c>
      <c r="T41" s="60" t="str">
        <f t="shared" si="19"/>
        <v xml:space="preserve"> </v>
      </c>
      <c r="U41" s="60" t="str">
        <f t="shared" si="20"/>
        <v xml:space="preserve"> </v>
      </c>
      <c r="W41">
        <f t="shared" si="21"/>
        <v>480</v>
      </c>
      <c r="X41">
        <f t="shared" si="22"/>
        <v>0</v>
      </c>
      <c r="Y41">
        <f t="shared" si="23"/>
        <v>480</v>
      </c>
      <c r="AD41" s="158">
        <f t="shared" si="25"/>
        <v>8</v>
      </c>
      <c r="AE41" s="158">
        <f t="shared" si="26"/>
        <v>0</v>
      </c>
      <c r="AF41" s="64">
        <f t="shared" si="27"/>
        <v>8</v>
      </c>
      <c r="AG41" s="169">
        <f t="shared" si="28"/>
        <v>16</v>
      </c>
      <c r="AH41" s="169">
        <f t="shared" si="29"/>
        <v>0</v>
      </c>
      <c r="AI41" s="64">
        <f t="shared" si="30"/>
        <v>16</v>
      </c>
      <c r="AJ41" s="169">
        <f t="shared" si="31"/>
        <v>8</v>
      </c>
      <c r="AK41" s="169">
        <f t="shared" si="32"/>
        <v>0</v>
      </c>
      <c r="AL41" s="64">
        <f t="shared" si="33"/>
        <v>8</v>
      </c>
    </row>
    <row r="42" spans="1:38" ht="15.75" x14ac:dyDescent="0.25">
      <c r="A42" s="1"/>
      <c r="B42" s="1"/>
      <c r="C42" s="62"/>
      <c r="D42" s="116"/>
      <c r="E42" s="117"/>
      <c r="F42" s="116"/>
      <c r="G42" s="116"/>
      <c r="H42" s="55"/>
      <c r="I42" s="59"/>
      <c r="J42" s="59"/>
      <c r="K42" s="57"/>
      <c r="L42" s="57"/>
      <c r="M42" s="63"/>
      <c r="N42" s="57"/>
      <c r="O42" s="64">
        <f>TRUNC(SUM(O11:O41)/60)+((SUM(O11:O41)/60)-(TRUNC(SUM(O11:O41)/60)))*60/100</f>
        <v>0</v>
      </c>
      <c r="P42" t="s">
        <v>132</v>
      </c>
      <c r="Q42" s="8"/>
      <c r="R42" s="8"/>
      <c r="S42" s="65">
        <f>SUM(S11:S41)</f>
        <v>0</v>
      </c>
      <c r="T42" s="66">
        <f>SUM(T11:T41)</f>
        <v>0</v>
      </c>
      <c r="U42" s="66">
        <f>SUM(U11:U41)</f>
        <v>0</v>
      </c>
    </row>
    <row r="43" spans="1:38" x14ac:dyDescent="0.25">
      <c r="A43" s="1"/>
      <c r="B43" s="1"/>
      <c r="C43" s="67"/>
      <c r="D43" s="21"/>
      <c r="E43" s="21"/>
      <c r="F43" s="21"/>
      <c r="G43" s="21"/>
      <c r="H43" s="21"/>
      <c r="I43" s="68"/>
      <c r="J43" s="68"/>
      <c r="K43" s="69"/>
      <c r="L43" s="69"/>
      <c r="M43" s="69"/>
      <c r="N43" s="70"/>
      <c r="O43" s="144"/>
      <c r="P43" s="8"/>
      <c r="Q43" s="8"/>
      <c r="R43" s="8"/>
      <c r="S43" s="71">
        <f>S42/60</f>
        <v>0</v>
      </c>
      <c r="T43" s="66"/>
      <c r="U43" s="8"/>
    </row>
    <row r="44" spans="1:38" x14ac:dyDescent="0.25">
      <c r="A44" s="1"/>
      <c r="B44" s="1"/>
      <c r="C44" s="67" t="s">
        <v>30</v>
      </c>
      <c r="D44" s="21"/>
      <c r="E44" s="72">
        <f>SUM(K11:K41)</f>
        <v>22</v>
      </c>
      <c r="F44" s="21" t="s">
        <v>31</v>
      </c>
      <c r="G44" s="21"/>
      <c r="H44" s="21"/>
      <c r="I44" s="73" t="s">
        <v>32</v>
      </c>
      <c r="J44" s="72">
        <f>SUM(N11:N41)</f>
        <v>22</v>
      </c>
      <c r="K44" s="74" t="s">
        <v>31</v>
      </c>
      <c r="L44" s="74"/>
      <c r="M44" s="74"/>
      <c r="N44" s="30"/>
      <c r="O44" s="141" t="s">
        <v>31</v>
      </c>
      <c r="P44" s="8"/>
      <c r="W44">
        <f>((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60)</f>
        <v>10560</v>
      </c>
      <c r="X44">
        <f>(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-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100)</f>
        <v>0</v>
      </c>
      <c r="Y44">
        <f>((TRUNC(O42)*60)+(O42-TRUNC(O42))*100)</f>
        <v>0</v>
      </c>
      <c r="Z44">
        <f>W44+X44+Y44</f>
        <v>10560</v>
      </c>
      <c r="AA44">
        <f>Z44/60</f>
        <v>176</v>
      </c>
      <c r="AB44">
        <f>TRUNC(AA44)</f>
        <v>176</v>
      </c>
      <c r="AC44">
        <f>(AA44-AB44)*60/100</f>
        <v>0</v>
      </c>
      <c r="AD44">
        <f>AB44+AC44</f>
        <v>176</v>
      </c>
    </row>
    <row r="45" spans="1:38" x14ac:dyDescent="0.25">
      <c r="A45" s="1"/>
      <c r="B45" s="1"/>
      <c r="C45" s="75" t="s">
        <v>33</v>
      </c>
      <c r="D45" s="21"/>
      <c r="E45" s="76">
        <f>ROUND(SUM(K11:K41)*godz,2)</f>
        <v>176</v>
      </c>
      <c r="F45" s="21" t="s">
        <v>34</v>
      </c>
      <c r="G45" s="21"/>
      <c r="H45" s="21"/>
      <c r="I45" s="73" t="s">
        <v>35</v>
      </c>
      <c r="J45" s="76">
        <f>AB44+AC44</f>
        <v>176</v>
      </c>
      <c r="K45" s="74" t="s">
        <v>34</v>
      </c>
      <c r="L45" s="74"/>
      <c r="M45" s="74"/>
      <c r="N45" s="30"/>
      <c r="O45" s="141" t="s">
        <v>34</v>
      </c>
      <c r="P45" s="8"/>
    </row>
    <row r="46" spans="1:38" x14ac:dyDescent="0.25">
      <c r="A46" s="1"/>
      <c r="B46" s="1"/>
      <c r="C46" s="67"/>
      <c r="D46" s="21"/>
      <c r="E46" s="76"/>
      <c r="F46" s="21"/>
      <c r="G46" s="21"/>
      <c r="H46" s="21"/>
      <c r="I46" s="73"/>
      <c r="J46" s="76"/>
      <c r="K46" s="74"/>
      <c r="L46" s="74"/>
      <c r="M46" s="74"/>
      <c r="N46" s="30"/>
      <c r="O46" s="141"/>
      <c r="P46" s="8"/>
    </row>
    <row r="47" spans="1:38" x14ac:dyDescent="0.25">
      <c r="A47" s="1"/>
      <c r="B47" s="1"/>
      <c r="C47" s="67"/>
      <c r="D47" s="21"/>
      <c r="E47" s="76"/>
      <c r="F47" s="21"/>
      <c r="G47" s="21"/>
      <c r="H47" s="21"/>
      <c r="I47" s="73" t="s">
        <v>36</v>
      </c>
      <c r="J47" s="72">
        <f>SUM(L11:L41)</f>
        <v>0</v>
      </c>
      <c r="K47" s="74" t="s">
        <v>37</v>
      </c>
      <c r="L47" s="74"/>
      <c r="M47" s="74"/>
      <c r="N47" s="30"/>
      <c r="O47" s="141" t="s">
        <v>37</v>
      </c>
      <c r="P47" s="8"/>
    </row>
    <row r="48" spans="1:38" x14ac:dyDescent="0.25">
      <c r="A48" s="1"/>
      <c r="B48" s="1"/>
      <c r="C48" s="67"/>
      <c r="D48" s="21"/>
      <c r="E48" s="21"/>
      <c r="F48" s="21"/>
      <c r="G48" s="21"/>
      <c r="H48" s="21"/>
      <c r="I48" s="73" t="s">
        <v>147</v>
      </c>
      <c r="J48" s="162"/>
      <c r="K48" s="78"/>
      <c r="L48" s="78"/>
      <c r="M48" s="78"/>
      <c r="N48" s="79"/>
      <c r="O48" s="141"/>
      <c r="P48" s="8"/>
    </row>
    <row r="49" spans="3:16" x14ac:dyDescent="0.25">
      <c r="C49" s="80" t="s">
        <v>61</v>
      </c>
      <c r="D49" s="21"/>
      <c r="E49" s="76">
        <f>TRUNC((((TRUNC(J45)*60)+(J45-TRUNC(J45))*100)-E45*60)/60)+((((((TRUNC(J45)*60)+(J45-TRUNC(J45))*100)-E45*60)/60)-TRUNC((((TRUNC(J45)*60)+(J45-TRUNC(J45))*100)-E45*60)/60))*60/100)</f>
        <v>0</v>
      </c>
      <c r="F49" s="21" t="s">
        <v>34</v>
      </c>
      <c r="G49" s="8"/>
      <c r="H49" s="73"/>
      <c r="I49" s="73" t="s">
        <v>148</v>
      </c>
      <c r="J49" s="76">
        <f>TRUNC((((ROUND(J47*godz,2))*60)-(TRUNC(J48)*60+(J48-TRUNC(J48))*100))/60)+((((((ROUND(J47*godz,2))*60)-(TRUNC(J48)*60+(J48-TRUNC(J48))*100))/60)-TRUNC((((ROUND(J47*godz,2))*60)-(TRUNC(J48)*60+(J48-TRUNC(J48))*100))/60))*60/100)</f>
        <v>0</v>
      </c>
      <c r="K49" s="77"/>
      <c r="L49" s="21"/>
      <c r="M49" s="21"/>
      <c r="N49" s="30"/>
      <c r="O49" s="142"/>
      <c r="P49" s="21"/>
    </row>
    <row r="50" spans="3:16" ht="15.75" thickBot="1" x14ac:dyDescent="0.3">
      <c r="C50" s="163" t="s">
        <v>38</v>
      </c>
      <c r="D50" s="164"/>
      <c r="E50" s="165">
        <f>J49</f>
        <v>0</v>
      </c>
      <c r="F50" s="164" t="s">
        <v>34</v>
      </c>
      <c r="G50" s="82"/>
      <c r="H50" s="21"/>
      <c r="I50" s="83"/>
      <c r="J50" s="83"/>
      <c r="K50" s="21"/>
      <c r="L50" s="21"/>
      <c r="M50" s="21"/>
      <c r="N50" s="30"/>
      <c r="O50" s="30"/>
      <c r="P50" s="8"/>
    </row>
    <row r="51" spans="3:16" ht="15.75" thickBot="1" x14ac:dyDescent="0.3">
      <c r="C51" s="166" t="s">
        <v>134</v>
      </c>
      <c r="D51" s="164"/>
      <c r="E51" s="165">
        <f>TRUNC(((TRUNC(J45)*60+(J45-TRUNC(J45))*100)+(TRUNC(J49)*60+(J49-TRUNC(J49))*100))/60)+((((TRUNC(J45)*60+(J45-TRUNC(J45))*100)+(TRUNC(J49)*60+(J49-TRUNC(J49))*100))/60)-TRUNC(((TRUNC(J45)*60+(J45-TRUNC(J45))*100)+(TRUNC(J49)*60+(J49-TRUNC(J49))*100))/60))*60/100</f>
        <v>176</v>
      </c>
      <c r="F51" s="164" t="s">
        <v>34</v>
      </c>
      <c r="G51" s="21"/>
      <c r="H51" s="21"/>
      <c r="I51" s="83" t="s">
        <v>39</v>
      </c>
      <c r="J51" s="84">
        <f>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+(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-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)*60/100)</f>
        <v>0</v>
      </c>
      <c r="K51" s="83" t="s">
        <v>34</v>
      </c>
      <c r="L51" s="83"/>
      <c r="M51" s="85"/>
      <c r="N51" s="30"/>
      <c r="O51" s="143" t="s">
        <v>34</v>
      </c>
      <c r="P51" s="8"/>
    </row>
    <row r="52" spans="3:16" ht="15.75" thickBot="1" x14ac:dyDescent="0.3">
      <c r="C52" s="86"/>
      <c r="D52" s="87"/>
      <c r="E52" s="88" t="s">
        <v>40</v>
      </c>
      <c r="F52" s="89"/>
      <c r="G52" s="87"/>
      <c r="H52" s="87"/>
      <c r="I52" s="88" t="s">
        <v>40</v>
      </c>
      <c r="J52" s="88" t="s">
        <v>41</v>
      </c>
      <c r="K52" s="87"/>
      <c r="L52" s="87"/>
      <c r="M52" s="87"/>
      <c r="N52" s="90"/>
      <c r="O52" s="90"/>
      <c r="P52" s="8"/>
    </row>
    <row r="53" spans="3:16" x14ac:dyDescent="0.25">
      <c r="C53" s="91" t="s">
        <v>42</v>
      </c>
      <c r="D53" s="13"/>
      <c r="E53" s="13"/>
      <c r="F53" s="13"/>
      <c r="G53" s="13"/>
      <c r="H53" s="13"/>
      <c r="I53" s="92"/>
      <c r="J53" s="92"/>
      <c r="K53" s="92"/>
      <c r="L53" s="92"/>
      <c r="M53" s="92"/>
      <c r="N53" s="93"/>
      <c r="O53" s="147"/>
      <c r="P53" s="8"/>
    </row>
    <row r="54" spans="3:16" x14ac:dyDescent="0.25">
      <c r="C54" s="67" t="s">
        <v>43</v>
      </c>
      <c r="D54" s="21"/>
      <c r="E54" s="94">
        <f>'Februar 2026'!J54</f>
        <v>6.56</v>
      </c>
      <c r="F54" s="83" t="s">
        <v>34</v>
      </c>
      <c r="G54" s="21"/>
      <c r="H54" s="21"/>
      <c r="I54" s="95" t="s">
        <v>44</v>
      </c>
      <c r="J54" s="98">
        <f>TRUNC(SUM(((TRUNC(J51)*60)+((J51-TRUNC(J51))*100)),(TRUNC(E54)*60)+((E54-TRUNC(E54))*100))/60)+((SUM(((TRUNC(J51)*60)+((J51-TRUNC(J51))*100)),(TRUNC(E54)*60)+((E54-TRUNC(E54))*100))/60)-TRUNC((SUM(((TRUNC(J51)*60)+((J51-TRUNC(J51))*100)),(TRUNC(E54)*60)+((E54-TRUNC(E54))*100))/60)))*60/100</f>
        <v>6.56</v>
      </c>
      <c r="K54" s="96" t="s">
        <v>34</v>
      </c>
      <c r="L54" s="81"/>
      <c r="M54" s="81"/>
      <c r="N54" s="30"/>
      <c r="O54" s="145" t="s">
        <v>34</v>
      </c>
      <c r="P54" s="8"/>
    </row>
    <row r="55" spans="3:16" ht="15.75" thickBot="1" x14ac:dyDescent="0.3">
      <c r="C55" s="86"/>
      <c r="D55" s="87"/>
      <c r="E55" s="87"/>
      <c r="F55" s="87"/>
      <c r="G55" s="87"/>
      <c r="H55" s="87"/>
      <c r="I55" s="97"/>
      <c r="J55" s="97"/>
      <c r="K55" s="97"/>
      <c r="L55" s="97"/>
      <c r="M55" s="97"/>
      <c r="N55" s="90"/>
      <c r="O55" s="146"/>
      <c r="P55" s="8"/>
    </row>
    <row r="56" spans="3:16" x14ac:dyDescent="0.25">
      <c r="C56" s="10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</row>
    <row r="57" spans="3:16" x14ac:dyDescent="0.25">
      <c r="C57" s="6">
        <f>SUM(K11:K41)</f>
        <v>22</v>
      </c>
    </row>
    <row r="58" spans="3:16" x14ac:dyDescent="0.25">
      <c r="E58" s="161"/>
    </row>
  </sheetData>
  <sheetProtection selectLockedCells="1"/>
  <mergeCells count="3">
    <mergeCell ref="E2:F2"/>
    <mergeCell ref="E3:F3"/>
    <mergeCell ref="E4:F4"/>
  </mergeCells>
  <pageMargins left="0.7" right="0.7" top="0.75" bottom="0.75" header="0.3" footer="0.3"/>
  <pageSetup paperSize="9" orientation="portrait" horizontalDpi="4294967295" verticalDpi="4294967295" r:id="rId1"/>
  <ignoredErrors>
    <ignoredError sqref="J47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Dane!$A$1:$A$12</xm:f>
          </x14:formula1>
          <xm:sqref>D11:D42</xm:sqref>
        </x14:dataValidation>
        <x14:dataValidation type="list" allowBlank="1" showInputMessage="1" showErrorMessage="1">
          <x14:formula1>
            <xm:f>Dane!$G$2:$G$16</xm:f>
          </x14:formula1>
          <xm:sqref>P11:P42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AL58"/>
  <sheetViews>
    <sheetView topLeftCell="C2" zoomScaleNormal="100" workbookViewId="0">
      <selection activeCell="E20" sqref="E20"/>
    </sheetView>
  </sheetViews>
  <sheetFormatPr defaultColWidth="9.140625" defaultRowHeight="15" x14ac:dyDescent="0.25"/>
  <cols>
    <col min="1" max="1" width="3.42578125" hidden="1" customWidth="1"/>
    <col min="2" max="2" width="3" hidden="1" customWidth="1"/>
    <col min="3" max="3" width="19.85546875" customWidth="1"/>
    <col min="4" max="4" width="3.7109375" customWidth="1"/>
    <col min="5" max="5" width="14.28515625" bestFit="1" customWidth="1"/>
    <col min="7" max="7" width="9.5703125" bestFit="1" customWidth="1"/>
    <col min="8" max="8" width="7.42578125" customWidth="1"/>
    <col min="9" max="9" width="14.42578125" customWidth="1"/>
    <col min="10" max="10" width="10" bestFit="1" customWidth="1"/>
    <col min="11" max="11" width="4.5703125" hidden="1" customWidth="1"/>
    <col min="12" max="12" width="4.42578125" hidden="1" customWidth="1"/>
    <col min="13" max="13" width="4.7109375" hidden="1" customWidth="1"/>
    <col min="14" max="14" width="6.5703125" hidden="1" customWidth="1"/>
    <col min="15" max="15" width="14.7109375" customWidth="1"/>
    <col min="17" max="17" width="13.28515625" customWidth="1"/>
    <col min="19" max="19" width="9.140625" hidden="1" customWidth="1"/>
    <col min="20" max="20" width="13.7109375" customWidth="1"/>
    <col min="21" max="21" width="14.85546875" customWidth="1"/>
    <col min="23" max="30" width="9.140625" hidden="1" customWidth="1"/>
    <col min="31" max="31" width="0" hidden="1" customWidth="1"/>
    <col min="32" max="32" width="12.28515625" bestFit="1" customWidth="1"/>
    <col min="33" max="34" width="0" hidden="1" customWidth="1"/>
    <col min="35" max="35" width="16" bestFit="1" customWidth="1"/>
    <col min="36" max="37" width="9.140625" hidden="1" customWidth="1"/>
    <col min="38" max="38" width="13.140625" bestFit="1" customWidth="1"/>
  </cols>
  <sheetData>
    <row r="1" spans="1:38" ht="18.75" thickBot="1" x14ac:dyDescent="0.3">
      <c r="A1" s="5" t="s">
        <v>48</v>
      </c>
      <c r="B1" s="1"/>
      <c r="C1" s="103" t="s">
        <v>0</v>
      </c>
      <c r="D1" s="104">
        <v>4</v>
      </c>
      <c r="E1" s="102"/>
      <c r="F1" s="102"/>
      <c r="G1" s="103" t="s">
        <v>1</v>
      </c>
      <c r="H1" s="105" t="str">
        <f>'Januar 2026'!rok</f>
        <v>2026</v>
      </c>
      <c r="I1" s="106" t="s">
        <v>2</v>
      </c>
      <c r="J1" s="107">
        <v>8</v>
      </c>
      <c r="K1" s="108"/>
      <c r="L1" s="109"/>
      <c r="M1" s="109"/>
      <c r="N1" s="110"/>
      <c r="O1" s="8"/>
      <c r="P1" s="8"/>
      <c r="Q1" s="9" t="str">
        <f>Dane!A2</f>
        <v>w</v>
      </c>
      <c r="R1" s="10" t="str">
        <f>Dane!B2</f>
        <v>dzień wolny ustawowo</v>
      </c>
      <c r="S1" s="8"/>
      <c r="T1" s="8"/>
      <c r="U1" s="123" t="str">
        <f>Dane!A9</f>
        <v>oc</v>
      </c>
      <c r="V1" s="8" t="str">
        <f>Dane!B9</f>
        <v>opieka nad chorym dzieckiem</v>
      </c>
    </row>
    <row r="2" spans="1:38" x14ac:dyDescent="0.25">
      <c r="A2" s="2"/>
      <c r="B2" s="1"/>
      <c r="C2" s="11"/>
      <c r="D2" s="11" t="s">
        <v>4</v>
      </c>
      <c r="E2" s="175"/>
      <c r="F2" s="176"/>
      <c r="G2" s="16"/>
      <c r="H2" s="17"/>
      <c r="I2" s="28" t="s">
        <v>5</v>
      </c>
      <c r="J2" s="101">
        <v>40</v>
      </c>
      <c r="K2" s="12" t="s">
        <v>6</v>
      </c>
      <c r="L2" s="13"/>
      <c r="M2" s="13"/>
      <c r="N2" s="14"/>
      <c r="O2" s="12" t="s">
        <v>6</v>
      </c>
      <c r="P2" s="8"/>
      <c r="Q2" s="9" t="str">
        <f>Dane!A3</f>
        <v>u</v>
      </c>
      <c r="R2" s="10" t="str">
        <f>Dane!B3</f>
        <v>urlop</v>
      </c>
      <c r="S2" s="8"/>
      <c r="T2" s="8"/>
      <c r="U2" s="122" t="str">
        <f>Dane!A10</f>
        <v>um</v>
      </c>
      <c r="V2" s="8" t="str">
        <f>Dane!B10</f>
        <v>urlop macierzyński</v>
      </c>
    </row>
    <row r="3" spans="1:38" x14ac:dyDescent="0.25">
      <c r="A3" s="1"/>
      <c r="B3" s="1"/>
      <c r="C3" s="15"/>
      <c r="D3" s="15" t="s">
        <v>46</v>
      </c>
      <c r="E3" s="175"/>
      <c r="F3" s="176"/>
      <c r="G3" s="16"/>
      <c r="H3" s="17"/>
      <c r="I3" s="18"/>
      <c r="J3" s="19"/>
      <c r="K3" s="20"/>
      <c r="L3" s="21"/>
      <c r="M3" s="21"/>
      <c r="N3" s="22"/>
      <c r="O3" s="20"/>
      <c r="P3" s="8"/>
      <c r="Q3" s="9" t="str">
        <f>Dane!A4</f>
        <v>c</v>
      </c>
      <c r="R3" s="10" t="str">
        <f>Dane!B4</f>
        <v>choroba</v>
      </c>
      <c r="S3" s="8"/>
      <c r="T3" s="8"/>
      <c r="U3" s="122" t="str">
        <f>Dane!A11</f>
        <v>uz</v>
      </c>
      <c r="V3" s="8" t="str">
        <f>Dane!B11</f>
        <v>urlop zaplanowany</v>
      </c>
    </row>
    <row r="4" spans="1:38" ht="15.75" thickBot="1" x14ac:dyDescent="0.3">
      <c r="A4" s="3"/>
      <c r="B4" s="1"/>
      <c r="C4" s="15"/>
      <c r="D4" s="23" t="s">
        <v>11</v>
      </c>
      <c r="E4" s="175"/>
      <c r="F4" s="176"/>
      <c r="G4" s="16"/>
      <c r="H4" s="17"/>
      <c r="I4" s="18"/>
      <c r="J4" s="19"/>
      <c r="K4" s="20"/>
      <c r="L4" s="21"/>
      <c r="M4" s="21"/>
      <c r="N4" s="22"/>
      <c r="O4" s="20"/>
      <c r="P4" s="8"/>
      <c r="Q4" s="9" t="str">
        <f>Dane!A5</f>
        <v>g</v>
      </c>
      <c r="R4" s="10" t="str">
        <f>Dane!B5</f>
        <v xml:space="preserve">godz.(rządanie pracownika) </v>
      </c>
      <c r="S4" s="8"/>
      <c r="T4" s="8"/>
      <c r="U4" s="122" t="str">
        <f>Dane!A12</f>
        <v>gp</v>
      </c>
      <c r="V4" t="str">
        <f>Dane!B12</f>
        <v xml:space="preserve">godz.(rządanie pracodawcy) </v>
      </c>
    </row>
    <row r="5" spans="1:38" x14ac:dyDescent="0.25">
      <c r="A5" s="3"/>
      <c r="B5" s="1"/>
      <c r="C5" s="15"/>
      <c r="D5" s="24"/>
      <c r="E5" s="25"/>
      <c r="F5" s="26"/>
      <c r="G5" s="27"/>
      <c r="H5" s="17"/>
      <c r="I5" s="28" t="s">
        <v>12</v>
      </c>
      <c r="J5" s="111">
        <v>0</v>
      </c>
      <c r="K5" s="29" t="s">
        <v>13</v>
      </c>
      <c r="L5" s="21"/>
      <c r="M5" s="21"/>
      <c r="N5" s="30"/>
      <c r="O5" s="29" t="s">
        <v>13</v>
      </c>
      <c r="P5" s="8"/>
      <c r="Q5" s="9" t="str">
        <f>Dane!A6</f>
        <v>s</v>
      </c>
      <c r="R5" s="10" t="str">
        <f>Dane!B6</f>
        <v>urlop specjalny/okolicznościow</v>
      </c>
      <c r="S5" s="8"/>
      <c r="T5" s="8"/>
      <c r="U5" s="9"/>
      <c r="AF5" s="170"/>
    </row>
    <row r="6" spans="1:38" x14ac:dyDescent="0.25">
      <c r="A6" s="3"/>
      <c r="B6" s="1"/>
      <c r="C6" s="15"/>
      <c r="D6" s="23"/>
      <c r="E6" s="31"/>
      <c r="F6" s="32"/>
      <c r="G6" s="33"/>
      <c r="H6" s="17"/>
      <c r="I6" s="21"/>
      <c r="J6" s="112">
        <v>0</v>
      </c>
      <c r="K6" s="29" t="s">
        <v>16</v>
      </c>
      <c r="L6" s="21"/>
      <c r="M6" s="21"/>
      <c r="N6" s="30"/>
      <c r="O6" s="29" t="s">
        <v>16</v>
      </c>
      <c r="P6" s="8"/>
      <c r="Q6" s="9" t="str">
        <f>Dane!A7</f>
        <v>a</v>
      </c>
      <c r="R6" s="10" t="str">
        <f>Dane!B7</f>
        <v>nieobecny</v>
      </c>
      <c r="S6" s="8"/>
      <c r="T6" s="8"/>
      <c r="U6" s="8"/>
      <c r="AF6" s="170"/>
    </row>
    <row r="7" spans="1:38" ht="15.75" thickBot="1" x14ac:dyDescent="0.3">
      <c r="A7" s="1"/>
      <c r="B7" s="1"/>
      <c r="C7" s="34"/>
      <c r="D7" s="35"/>
      <c r="E7" s="35"/>
      <c r="F7" s="35"/>
      <c r="G7" s="35"/>
      <c r="H7" s="17"/>
      <c r="I7" s="28" t="s">
        <v>17</v>
      </c>
      <c r="J7" s="113">
        <v>8</v>
      </c>
      <c r="K7" s="20" t="s">
        <v>18</v>
      </c>
      <c r="L7" s="21"/>
      <c r="M7" s="21"/>
      <c r="N7" s="30"/>
      <c r="O7" s="20" t="s">
        <v>18</v>
      </c>
      <c r="P7" s="8"/>
      <c r="Q7" s="9" t="str">
        <f>Dane!A8</f>
        <v>op</v>
      </c>
      <c r="R7" s="10" t="str">
        <f>Dane!B8</f>
        <v>opieka nad zdrowym dzieckiem</v>
      </c>
      <c r="S7" s="8"/>
      <c r="T7" s="8"/>
      <c r="U7" s="8"/>
      <c r="AF7" s="170"/>
    </row>
    <row r="8" spans="1:38" ht="23.25" x14ac:dyDescent="0.35">
      <c r="A8" s="2"/>
      <c r="B8" s="2"/>
      <c r="C8" s="99" t="s">
        <v>45</v>
      </c>
      <c r="D8" s="7"/>
      <c r="E8" s="7"/>
      <c r="F8" s="100" t="str">
        <f>TEXT(DATE(H1,D1,1),"MMMM rrrr")</f>
        <v>kwiecień 2026</v>
      </c>
      <c r="G8" s="36"/>
      <c r="H8" s="37"/>
      <c r="I8" s="38"/>
      <c r="J8" s="39"/>
      <c r="K8" s="39"/>
      <c r="L8" s="39"/>
      <c r="M8" s="39"/>
      <c r="N8" s="40"/>
      <c r="O8" s="41"/>
      <c r="P8" s="42"/>
      <c r="Q8" s="41"/>
      <c r="R8" s="42"/>
      <c r="S8" s="41"/>
      <c r="T8" s="41"/>
      <c r="U8" s="42"/>
      <c r="AF8" s="170"/>
    </row>
    <row r="9" spans="1:38" ht="15.75" thickBot="1" x14ac:dyDescent="0.3">
      <c r="A9" s="2"/>
      <c r="B9" s="2"/>
      <c r="C9" s="43"/>
      <c r="D9" s="44" t="s">
        <v>21</v>
      </c>
      <c r="E9" s="45" t="str">
        <f>TEXT(F9,"DDDD ")</f>
        <v xml:space="preserve">środa </v>
      </c>
      <c r="F9" s="45">
        <f>DATE(H1,D1,1)</f>
        <v>46113</v>
      </c>
      <c r="G9" s="44" t="s">
        <v>22</v>
      </c>
      <c r="H9" s="46" t="str">
        <f>TEXT(I9,"DDDD ")</f>
        <v xml:space="preserve">czwartek </v>
      </c>
      <c r="I9" s="45">
        <f>DATE(YEAR(F9),MONTH(F9+31),DAY(F9))-1</f>
        <v>46142</v>
      </c>
      <c r="J9" s="47"/>
      <c r="K9" s="47"/>
      <c r="L9" s="47"/>
      <c r="M9" s="47"/>
      <c r="N9" s="30"/>
      <c r="O9" s="48"/>
      <c r="P9" s="49"/>
      <c r="Q9" s="48"/>
      <c r="R9" s="49"/>
      <c r="S9" s="48"/>
      <c r="T9" s="48"/>
      <c r="U9" s="49"/>
      <c r="AF9" s="170"/>
    </row>
    <row r="10" spans="1:38" ht="52.5" thickBot="1" x14ac:dyDescent="0.3">
      <c r="A10" s="4"/>
      <c r="B10" s="4"/>
      <c r="C10" s="50" t="s">
        <v>23</v>
      </c>
      <c r="D10" s="51"/>
      <c r="E10" s="51" t="s">
        <v>24</v>
      </c>
      <c r="F10" s="51" t="s">
        <v>25</v>
      </c>
      <c r="G10" s="51" t="s">
        <v>26</v>
      </c>
      <c r="H10" s="51" t="s">
        <v>27</v>
      </c>
      <c r="I10" s="51" t="s">
        <v>137</v>
      </c>
      <c r="J10" s="51" t="s">
        <v>28</v>
      </c>
      <c r="K10" s="51"/>
      <c r="L10" s="51" t="s">
        <v>100</v>
      </c>
      <c r="M10" s="51"/>
      <c r="N10" s="52"/>
      <c r="O10" s="51" t="s">
        <v>29</v>
      </c>
      <c r="P10" s="51" t="s">
        <v>105</v>
      </c>
      <c r="Q10" s="136" t="s">
        <v>101</v>
      </c>
      <c r="R10" s="53"/>
      <c r="S10" s="51"/>
      <c r="T10" s="114" t="s">
        <v>49</v>
      </c>
      <c r="U10" s="114" t="s">
        <v>50</v>
      </c>
      <c r="W10" t="s">
        <v>138</v>
      </c>
      <c r="X10" t="s">
        <v>139</v>
      </c>
      <c r="Y10" t="s">
        <v>140</v>
      </c>
      <c r="AF10" s="171" t="s">
        <v>152</v>
      </c>
      <c r="AG10" s="171"/>
      <c r="AH10" s="171"/>
      <c r="AI10" s="171" t="s">
        <v>153</v>
      </c>
      <c r="AJ10" s="171"/>
      <c r="AK10" s="171"/>
      <c r="AL10" s="171" t="s">
        <v>154</v>
      </c>
    </row>
    <row r="11" spans="1:38" ht="15.75" x14ac:dyDescent="0.25">
      <c r="A11" s="2">
        <f>DATE(H1,D1,1)</f>
        <v>46113</v>
      </c>
      <c r="B11" s="2">
        <f>CODE(TEXT(A11,"TTTT"))</f>
        <v>84</v>
      </c>
      <c r="C11" s="54" t="str">
        <f t="shared" ref="C11:C40" si="0">TEXT(A11,"DD.M. DDDD")</f>
        <v>01.4. środa</v>
      </c>
      <c r="D11" s="159"/>
      <c r="E11" s="117" t="str">
        <f>IF(D11="w","wolne",IF(D11="u","urlop",IF(D11="c","choroba",IF(D11="g","godziny",IF(D11="a","nieobecny",IF(D11="op","opieka"," "))))))</f>
        <v xml:space="preserve"> </v>
      </c>
      <c r="F11" s="115">
        <v>8</v>
      </c>
      <c r="G11" s="115">
        <v>16</v>
      </c>
      <c r="H11" s="55">
        <f t="shared" ref="H11:H40" si="1">IF(D11="d",(((((TRUNC(G11)-1)-TRUNC(F11))*60)+((G11-TRUNC(G11))*100)+(60-(F11-TRUNC(F11))*100))-(IF(M11&lt;przerwa1,pause,przerwa1)))/60,IF((OR((B11=83),(D11="u"),(D11="uz"),(D11="a"),(D11="c"),(D11="s"),(AND(D11="w",F11="")),(D11="oc"),(D11="um"),(D11="op"),(D11="oc"))),"",IF(OR(D11="g",AND(D11="gp",F11="")),0,TRUNC((((TRUNC(G11)*60+(G11-(TRUNC(G11)))*100)-(TRUNC(F11)*60+(F11-TRUNC(F11))*100))-(IF(M11&lt;przerwa1,pause,przerwa1)))/60)+(((((TRUNC(G11)*60+(G11-(TRUNC(G11)))*100)-(TRUNC(F11)*60+(F11-TRUNC(F11))*100))-(IF(M11&lt;przerwa1,pause,przerwa1)))/60)-TRUNC(((((TRUNC(G11)*60+(G11-(TRUNC(G11)))*100)-(TRUNC(F11)*60+(F11-TRUNC(F11))*100))-(IF(M11&lt;przerwa1,pause,przerwa1)))/60)))*60/100)))</f>
        <v>8</v>
      </c>
      <c r="I11" s="55">
        <f t="shared" ref="I11:I40" si="2">IF(AND(D11="gp",F11=""),-(TRUNC(godz/1.5)+((godz/1.5)-TRUNC(godz/1.5))*60/100),IF(AND(D11="gp",F11&lt;&gt;"",G11&lt;&gt;""),ROUND(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+(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-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)*60/100,2),IF(OR((B11=83),(D11="w"),(D11="s"),(D11="c"),(D11="a"),(D11="oc"),(D11="um"),(D11="op"),(D11="uz"),(D11="u")),"",ROUND((TRUNC(H11-godz)+(((TRUNC(H11)*60)+(H11-TRUNC(H11))*100)-(godz*60)-(TRUNC(H11-godz)*60))/100),2))))</f>
        <v>0</v>
      </c>
      <c r="J11" s="56">
        <f t="shared" ref="J11:J40" si="3">IF(D11="gp",(TRUNC(I11)*60+(I11-TRUNC(I11))*100),IF(OR((I11=""),(B11=83)),"",IF((I11=0),0,TRUNC(H11-godz)*60+(((TRUNC(H11)*60)+(H11-TRUNC(H11))*100)-(godz*60)-(TRUNC(H11-godz)*60)))))</f>
        <v>0</v>
      </c>
      <c r="K11" s="57">
        <f>IF(OR((B11=83),(D11="w")),0,1)</f>
        <v>1</v>
      </c>
      <c r="L11" s="57">
        <f>IF(OR((D11="c"),(D11="u"),(D11="uz"),(D11="um"),(D11="op"),(D11="oc"),(D11="s")),1,0)</f>
        <v>0</v>
      </c>
      <c r="M11" s="58" t="str">
        <f t="shared" ref="M11:M40" si="4">IF(((((((TRUNC(G11)-1)-TRUNC(F11))*60)+((G11-TRUNC(G11))*100)+(60-(F11-TRUNC(F11))*100)))/100)&lt;pause2,"przerwa1","pause")</f>
        <v>przerwa1</v>
      </c>
      <c r="N11" s="57">
        <f>IF(OR((B11=83),(D11="w"),(D11="g"),(D11="c"),(D11="u"),(D11="uz"),(D11="op"),(D11="oc")),0,1)</f>
        <v>1</v>
      </c>
      <c r="O11" s="137"/>
      <c r="P11" s="149"/>
      <c r="Q11" s="137"/>
      <c r="R11" s="8"/>
      <c r="S11" s="60">
        <f t="shared" ref="S11:S41" si="5">IF(H11&lt;&gt;"",IF(D11="w",((TRUNC(H11)*60)+(H11-TRUNC(H11))*100),((TRUNC(H11)*60+(H11-TRUNC(H11))*100)-pause2*60-O11))," ")</f>
        <v>0</v>
      </c>
      <c r="T11" s="60" t="str">
        <f>IF(S11&gt;0,S11," ")</f>
        <v xml:space="preserve"> </v>
      </c>
      <c r="U11" s="60" t="str">
        <f>IF(S11&lt;0,S11," ")</f>
        <v xml:space="preserve"> </v>
      </c>
      <c r="W11">
        <f>IF(H11="",0,TRUNC(H11)*60)</f>
        <v>480</v>
      </c>
      <c r="X11">
        <f>IF(H11="",0,ROUND((H11-TRUNC(H11))*100,0)-O11)</f>
        <v>0</v>
      </c>
      <c r="Y11">
        <f>IF(D11="gp",(TRUNC(I11)*60+(I11-TRUNC(I11))*100),(IF(D11="g",(TRUNC(I11)*60+(I11-TRUNC(I11))*100),W11+X11)))</f>
        <v>480</v>
      </c>
      <c r="AD11" s="158">
        <f t="shared" ref="AD11:AD12" si="6">TRUNC(F11)</f>
        <v>8</v>
      </c>
      <c r="AE11" s="158">
        <f t="shared" ref="AE11:AE12" si="7">F11-TRUNC(F11)</f>
        <v>0</v>
      </c>
      <c r="AF11" s="64">
        <f t="shared" ref="AF11:AF12" si="8">IF(F11&lt;&gt;0,AD11+(AE11/0.6)," ")</f>
        <v>8</v>
      </c>
      <c r="AG11" s="169">
        <f t="shared" ref="AG11:AG12" si="9">TRUNC(G11)</f>
        <v>16</v>
      </c>
      <c r="AH11" s="169">
        <f t="shared" ref="AH11:AH12" si="10">G11-TRUNC(G11)</f>
        <v>0</v>
      </c>
      <c r="AI11" s="64">
        <f t="shared" ref="AI11:AI12" si="11">IF(G11&lt;&gt;0,AG11+(AH11/0.6)," ")</f>
        <v>16</v>
      </c>
      <c r="AJ11" s="169">
        <f t="shared" ref="AJ11:AJ12" si="12">IF(H11&lt;&gt;"",TRUNC(H11),"")</f>
        <v>8</v>
      </c>
      <c r="AK11" s="169"/>
      <c r="AL11" s="64">
        <f t="shared" ref="AL11:AL12" si="13">IF(H11&lt;&gt;"",AJ11+(AK11/0.6)," ")</f>
        <v>8</v>
      </c>
    </row>
    <row r="12" spans="1:38" ht="15.75" x14ac:dyDescent="0.25">
      <c r="A12" s="2">
        <f>(A11+1)</f>
        <v>46114</v>
      </c>
      <c r="B12" s="2">
        <f t="shared" ref="B12:B41" si="14">CODE(TEXT(A12,"TTTT"))</f>
        <v>84</v>
      </c>
      <c r="C12" s="54" t="str">
        <f t="shared" si="0"/>
        <v>02.4. czwartek</v>
      </c>
      <c r="D12" s="159"/>
      <c r="E12" s="117" t="str">
        <f t="shared" ref="E12:E40" si="15">IF(D12="w","wolne",IF(D12="u","urlop",IF(D12="c","choroba",IF(D12="g","godziny",IF(D12="a","nieobecny",IF(D12="op","opieka"," "))))))</f>
        <v xml:space="preserve"> </v>
      </c>
      <c r="F12" s="115">
        <v>8</v>
      </c>
      <c r="G12" s="115">
        <v>16</v>
      </c>
      <c r="H12" s="55">
        <f t="shared" si="1"/>
        <v>8</v>
      </c>
      <c r="I12" s="55">
        <f t="shared" si="2"/>
        <v>0</v>
      </c>
      <c r="J12" s="56">
        <f t="shared" si="3"/>
        <v>0</v>
      </c>
      <c r="K12" s="57">
        <f>IF(OR((B12=83),(D12="w")),0,1)</f>
        <v>1</v>
      </c>
      <c r="L12" s="57">
        <f t="shared" ref="L12:L40" si="16">IF(OR((D12="c"),(D12="u"),(D12="uz"),(D12="um"),(D12="op"),(D12="oc"),(D12="s")),1,0)</f>
        <v>0</v>
      </c>
      <c r="M12" s="58" t="str">
        <f t="shared" si="4"/>
        <v>przerwa1</v>
      </c>
      <c r="N12" s="57">
        <f t="shared" ref="N12:N40" si="17">IF(OR((B12=83),(D12="w"),(D12="g"),(D12="c"),(D12="u"),(D12="uz"),(D12="op"),(D12="oc")),0,1)</f>
        <v>1</v>
      </c>
      <c r="O12" s="138"/>
      <c r="P12" s="149"/>
      <c r="Q12" s="137"/>
      <c r="R12" s="8"/>
      <c r="S12" s="60">
        <f t="shared" si="5"/>
        <v>0</v>
      </c>
      <c r="T12" s="60" t="str">
        <f t="shared" ref="T12:T41" si="18">IF(S12&gt;0,S12," ")</f>
        <v xml:space="preserve"> </v>
      </c>
      <c r="U12" s="60" t="str">
        <f t="shared" ref="U12:U41" si="19">IF(S12&lt;0,S12," ")</f>
        <v xml:space="preserve"> </v>
      </c>
      <c r="W12">
        <f t="shared" ref="W12:W41" si="20">IF(H12="",0,TRUNC(H12)*60)</f>
        <v>480</v>
      </c>
      <c r="X12">
        <f t="shared" ref="X12:X41" si="21">IF(H12="",0,ROUND((H12-TRUNC(H12))*100,0)-O12)</f>
        <v>0</v>
      </c>
      <c r="Y12">
        <f t="shared" ref="Y12:Y41" si="22">IF(D12="gp",(TRUNC(I12)*60+(I12-TRUNC(I12))*100),(IF(D12="g",(TRUNC(I12)*60+(I12-TRUNC(I12))*100),W12+X12)))</f>
        <v>480</v>
      </c>
      <c r="AD12" s="158">
        <f t="shared" si="6"/>
        <v>8</v>
      </c>
      <c r="AE12" s="158">
        <f t="shared" si="7"/>
        <v>0</v>
      </c>
      <c r="AF12" s="64">
        <f t="shared" si="8"/>
        <v>8</v>
      </c>
      <c r="AG12" s="169">
        <f t="shared" si="9"/>
        <v>16</v>
      </c>
      <c r="AH12" s="169">
        <f t="shared" si="10"/>
        <v>0</v>
      </c>
      <c r="AI12" s="64">
        <f t="shared" si="11"/>
        <v>16</v>
      </c>
      <c r="AJ12" s="169">
        <f t="shared" si="12"/>
        <v>8</v>
      </c>
      <c r="AK12" s="169">
        <f>IF(H12&lt;&gt;"",H12-AJ12,"")</f>
        <v>0</v>
      </c>
      <c r="AL12" s="64">
        <f t="shared" si="13"/>
        <v>8</v>
      </c>
    </row>
    <row r="13" spans="1:38" ht="15.75" x14ac:dyDescent="0.25">
      <c r="A13" s="2">
        <f t="shared" ref="A13:A41" si="23">(A12+1)</f>
        <v>46115</v>
      </c>
      <c r="B13" s="2">
        <f t="shared" si="14"/>
        <v>84</v>
      </c>
      <c r="C13" s="54" t="str">
        <f t="shared" si="0"/>
        <v>03.4. piątek</v>
      </c>
      <c r="D13" s="159"/>
      <c r="E13" s="117" t="str">
        <f t="shared" si="15"/>
        <v xml:space="preserve"> </v>
      </c>
      <c r="F13" s="115">
        <v>8</v>
      </c>
      <c r="G13" s="115">
        <v>16</v>
      </c>
      <c r="H13" s="55">
        <f t="shared" si="1"/>
        <v>8</v>
      </c>
      <c r="I13" s="55">
        <f t="shared" si="2"/>
        <v>0</v>
      </c>
      <c r="J13" s="56">
        <f t="shared" si="3"/>
        <v>0</v>
      </c>
      <c r="K13" s="57">
        <f>IF(OR((B13=83),(D13="w")),0,1)</f>
        <v>1</v>
      </c>
      <c r="L13" s="57">
        <f t="shared" si="16"/>
        <v>0</v>
      </c>
      <c r="M13" s="58" t="str">
        <f t="shared" si="4"/>
        <v>przerwa1</v>
      </c>
      <c r="N13" s="57">
        <f t="shared" si="17"/>
        <v>1</v>
      </c>
      <c r="O13" s="138"/>
      <c r="P13" s="149"/>
      <c r="Q13" s="137"/>
      <c r="R13" s="8"/>
      <c r="S13" s="60">
        <f t="shared" si="5"/>
        <v>0</v>
      </c>
      <c r="T13" s="60" t="str">
        <f t="shared" si="18"/>
        <v xml:space="preserve"> </v>
      </c>
      <c r="U13" s="60" t="str">
        <f t="shared" si="19"/>
        <v xml:space="preserve"> </v>
      </c>
      <c r="W13">
        <f t="shared" si="20"/>
        <v>480</v>
      </c>
      <c r="X13">
        <f t="shared" si="21"/>
        <v>0</v>
      </c>
      <c r="Y13">
        <f t="shared" si="22"/>
        <v>480</v>
      </c>
      <c r="AD13" s="158">
        <f>TRUNC(F13)</f>
        <v>8</v>
      </c>
      <c r="AE13" s="158">
        <f>F13-TRUNC(F13)</f>
        <v>0</v>
      </c>
      <c r="AF13" s="64">
        <f>IF(F13&lt;&gt;0,AD13+(AE13/0.6)," ")</f>
        <v>8</v>
      </c>
      <c r="AG13" s="169">
        <f>TRUNC(G13)</f>
        <v>16</v>
      </c>
      <c r="AH13" s="169">
        <f>G13-TRUNC(G13)</f>
        <v>0</v>
      </c>
      <c r="AI13" s="64">
        <f>IF(G13&lt;&gt;0,AG13+(AH13/0.6)," ")</f>
        <v>16</v>
      </c>
      <c r="AJ13" s="169">
        <f>IF(H13&lt;&gt;"",TRUNC(H13),"")</f>
        <v>8</v>
      </c>
      <c r="AK13" s="169">
        <f>IF(H13&lt;&gt;"",H13-AJ13,"")</f>
        <v>0</v>
      </c>
      <c r="AL13" s="64">
        <f>IF(H13&lt;&gt;"",AJ13+(AK13/0.6)," ")</f>
        <v>8</v>
      </c>
    </row>
    <row r="14" spans="1:38" ht="15.75" x14ac:dyDescent="0.25">
      <c r="A14" s="2">
        <f t="shared" si="23"/>
        <v>46116</v>
      </c>
      <c r="B14" s="2">
        <f t="shared" si="14"/>
        <v>84</v>
      </c>
      <c r="C14" s="54" t="str">
        <f t="shared" si="0"/>
        <v>04.4. sobota</v>
      </c>
      <c r="D14" s="159" t="s">
        <v>47</v>
      </c>
      <c r="E14" s="117" t="str">
        <f t="shared" si="15"/>
        <v>wolne</v>
      </c>
      <c r="F14" s="115"/>
      <c r="G14" s="115"/>
      <c r="H14" s="55" t="str">
        <f t="shared" si="1"/>
        <v/>
      </c>
      <c r="I14" s="55" t="str">
        <f t="shared" si="2"/>
        <v/>
      </c>
      <c r="J14" s="56" t="str">
        <f t="shared" si="3"/>
        <v/>
      </c>
      <c r="K14" s="57">
        <f>IF(OR((B14=83),(D14="w")),0,1)</f>
        <v>0</v>
      </c>
      <c r="L14" s="57">
        <f t="shared" si="16"/>
        <v>0</v>
      </c>
      <c r="M14" s="58" t="str">
        <f t="shared" si="4"/>
        <v>przerwa1</v>
      </c>
      <c r="N14" s="57">
        <f t="shared" si="17"/>
        <v>0</v>
      </c>
      <c r="O14" s="138"/>
      <c r="P14" s="149"/>
      <c r="Q14" s="138"/>
      <c r="R14" s="8"/>
      <c r="S14" s="60" t="str">
        <f t="shared" si="5"/>
        <v xml:space="preserve"> </v>
      </c>
      <c r="T14" s="60" t="str">
        <f t="shared" si="18"/>
        <v xml:space="preserve"> </v>
      </c>
      <c r="U14" s="60" t="str">
        <f t="shared" si="19"/>
        <v xml:space="preserve"> </v>
      </c>
      <c r="W14">
        <f t="shared" si="20"/>
        <v>0</v>
      </c>
      <c r="X14">
        <f t="shared" si="21"/>
        <v>0</v>
      </c>
      <c r="Y14">
        <f t="shared" si="22"/>
        <v>0</v>
      </c>
      <c r="AD14" s="158">
        <f t="shared" ref="AD14:AD41" si="24">TRUNC(F14)</f>
        <v>0</v>
      </c>
      <c r="AE14" s="158">
        <f t="shared" ref="AE14:AE41" si="25">F14-TRUNC(F14)</f>
        <v>0</v>
      </c>
      <c r="AF14" s="64" t="str">
        <f t="shared" ref="AF14:AF41" si="26">IF(F14&lt;&gt;0,AD14+(AE14/0.6)," ")</f>
        <v xml:space="preserve"> </v>
      </c>
      <c r="AG14" s="169">
        <f t="shared" ref="AG14:AG41" si="27">TRUNC(G14)</f>
        <v>0</v>
      </c>
      <c r="AH14" s="169">
        <f t="shared" ref="AH14:AH41" si="28">G14-TRUNC(G14)</f>
        <v>0</v>
      </c>
      <c r="AI14" s="64" t="str">
        <f t="shared" ref="AI14:AI41" si="29">IF(G14&lt;&gt;0,AG14+(AH14/0.6)," ")</f>
        <v xml:space="preserve"> </v>
      </c>
      <c r="AJ14" s="169" t="str">
        <f t="shared" ref="AJ14:AJ41" si="30">IF(H14&lt;&gt;"",TRUNC(H14),"")</f>
        <v/>
      </c>
      <c r="AK14" s="169" t="str">
        <f t="shared" ref="AK14:AK41" si="31">IF(H14&lt;&gt;"",H14-AJ14,"")</f>
        <v/>
      </c>
      <c r="AL14" s="64" t="str">
        <f t="shared" ref="AL14:AL41" si="32">IF(H14&lt;&gt;"",AJ14+(AK14/0.6)," ")</f>
        <v xml:space="preserve"> </v>
      </c>
    </row>
    <row r="15" spans="1:38" ht="15.75" x14ac:dyDescent="0.25">
      <c r="A15" s="2">
        <f t="shared" si="23"/>
        <v>46117</v>
      </c>
      <c r="B15" s="2">
        <f t="shared" si="14"/>
        <v>84</v>
      </c>
      <c r="C15" s="54" t="str">
        <f t="shared" si="0"/>
        <v>05.4. niedziela</v>
      </c>
      <c r="D15" s="159" t="s">
        <v>47</v>
      </c>
      <c r="E15" s="117" t="str">
        <f t="shared" si="15"/>
        <v>wolne</v>
      </c>
      <c r="F15" s="115"/>
      <c r="G15" s="115"/>
      <c r="H15" s="55" t="str">
        <f t="shared" si="1"/>
        <v/>
      </c>
      <c r="I15" s="55" t="str">
        <f t="shared" si="2"/>
        <v/>
      </c>
      <c r="J15" s="56" t="str">
        <f t="shared" si="3"/>
        <v/>
      </c>
      <c r="K15" s="57">
        <f t="shared" ref="K15:K42" si="33">IF(OR((B15=83),(D15="w")),0,1)</f>
        <v>0</v>
      </c>
      <c r="L15" s="57">
        <f t="shared" si="16"/>
        <v>0</v>
      </c>
      <c r="M15" s="58" t="str">
        <f t="shared" si="4"/>
        <v>przerwa1</v>
      </c>
      <c r="N15" s="57">
        <f t="shared" si="17"/>
        <v>0</v>
      </c>
      <c r="O15" s="138"/>
      <c r="P15" s="149"/>
      <c r="Q15" s="138"/>
      <c r="R15" s="8"/>
      <c r="S15" s="60" t="str">
        <f t="shared" si="5"/>
        <v xml:space="preserve"> </v>
      </c>
      <c r="T15" s="60" t="str">
        <f t="shared" si="18"/>
        <v xml:space="preserve"> </v>
      </c>
      <c r="U15" s="60" t="str">
        <f t="shared" si="19"/>
        <v xml:space="preserve"> </v>
      </c>
      <c r="W15">
        <f t="shared" si="20"/>
        <v>0</v>
      </c>
      <c r="X15">
        <f t="shared" si="21"/>
        <v>0</v>
      </c>
      <c r="Y15">
        <f t="shared" si="22"/>
        <v>0</v>
      </c>
      <c r="AD15" s="158">
        <f t="shared" si="24"/>
        <v>0</v>
      </c>
      <c r="AE15" s="158">
        <f t="shared" si="25"/>
        <v>0</v>
      </c>
      <c r="AF15" s="64" t="str">
        <f t="shared" si="26"/>
        <v xml:space="preserve"> </v>
      </c>
      <c r="AG15" s="169">
        <f t="shared" si="27"/>
        <v>0</v>
      </c>
      <c r="AH15" s="169">
        <f t="shared" si="28"/>
        <v>0</v>
      </c>
      <c r="AI15" s="64" t="str">
        <f t="shared" si="29"/>
        <v xml:space="preserve"> </v>
      </c>
      <c r="AJ15" s="169" t="str">
        <f t="shared" si="30"/>
        <v/>
      </c>
      <c r="AK15" s="169" t="str">
        <f t="shared" si="31"/>
        <v/>
      </c>
      <c r="AL15" s="64" t="str">
        <f t="shared" si="32"/>
        <v xml:space="preserve"> </v>
      </c>
    </row>
    <row r="16" spans="1:38" ht="15.75" x14ac:dyDescent="0.25">
      <c r="A16" s="2">
        <f t="shared" si="23"/>
        <v>46118</v>
      </c>
      <c r="B16" s="2">
        <f t="shared" si="14"/>
        <v>84</v>
      </c>
      <c r="C16" s="54" t="str">
        <f t="shared" si="0"/>
        <v>06.4. poniedziałek</v>
      </c>
      <c r="D16" s="159" t="s">
        <v>47</v>
      </c>
      <c r="E16" s="117" t="str">
        <f t="shared" si="15"/>
        <v>wolne</v>
      </c>
      <c r="F16" s="115"/>
      <c r="G16" s="115"/>
      <c r="H16" s="55" t="str">
        <f t="shared" si="1"/>
        <v/>
      </c>
      <c r="I16" s="55" t="str">
        <f t="shared" si="2"/>
        <v/>
      </c>
      <c r="J16" s="56" t="str">
        <f t="shared" si="3"/>
        <v/>
      </c>
      <c r="K16" s="57">
        <f t="shared" si="33"/>
        <v>0</v>
      </c>
      <c r="L16" s="57">
        <f t="shared" si="16"/>
        <v>0</v>
      </c>
      <c r="M16" s="58" t="str">
        <f t="shared" si="4"/>
        <v>przerwa1</v>
      </c>
      <c r="N16" s="57">
        <f t="shared" si="17"/>
        <v>0</v>
      </c>
      <c r="O16" s="138"/>
      <c r="P16" s="149"/>
      <c r="Q16" s="138"/>
      <c r="R16" s="8"/>
      <c r="S16" s="60" t="str">
        <f t="shared" si="5"/>
        <v xml:space="preserve"> </v>
      </c>
      <c r="T16" s="60" t="str">
        <f t="shared" si="18"/>
        <v xml:space="preserve"> </v>
      </c>
      <c r="U16" s="60" t="str">
        <f t="shared" si="19"/>
        <v xml:space="preserve"> </v>
      </c>
      <c r="W16">
        <f t="shared" si="20"/>
        <v>0</v>
      </c>
      <c r="X16">
        <f t="shared" si="21"/>
        <v>0</v>
      </c>
      <c r="Y16">
        <f t="shared" si="22"/>
        <v>0</v>
      </c>
      <c r="AD16" s="158">
        <f t="shared" si="24"/>
        <v>0</v>
      </c>
      <c r="AE16" s="158">
        <f t="shared" si="25"/>
        <v>0</v>
      </c>
      <c r="AF16" s="64" t="str">
        <f t="shared" si="26"/>
        <v xml:space="preserve"> </v>
      </c>
      <c r="AG16" s="169">
        <f t="shared" si="27"/>
        <v>0</v>
      </c>
      <c r="AH16" s="169">
        <f t="shared" si="28"/>
        <v>0</v>
      </c>
      <c r="AI16" s="64" t="str">
        <f t="shared" si="29"/>
        <v xml:space="preserve"> </v>
      </c>
      <c r="AJ16" s="169" t="str">
        <f t="shared" si="30"/>
        <v/>
      </c>
      <c r="AK16" s="169" t="str">
        <f t="shared" si="31"/>
        <v/>
      </c>
      <c r="AL16" s="64" t="str">
        <f t="shared" si="32"/>
        <v xml:space="preserve"> </v>
      </c>
    </row>
    <row r="17" spans="1:38" ht="15.75" x14ac:dyDescent="0.25">
      <c r="A17" s="2">
        <f t="shared" si="23"/>
        <v>46119</v>
      </c>
      <c r="B17" s="2">
        <f t="shared" si="14"/>
        <v>84</v>
      </c>
      <c r="C17" s="54" t="str">
        <f t="shared" si="0"/>
        <v>07.4. wtorek</v>
      </c>
      <c r="D17" s="159"/>
      <c r="E17" s="117" t="str">
        <f t="shared" si="15"/>
        <v xml:space="preserve"> </v>
      </c>
      <c r="F17" s="115">
        <v>8</v>
      </c>
      <c r="G17" s="115">
        <v>16</v>
      </c>
      <c r="H17" s="55">
        <f t="shared" si="1"/>
        <v>8</v>
      </c>
      <c r="I17" s="55">
        <f t="shared" si="2"/>
        <v>0</v>
      </c>
      <c r="J17" s="56">
        <f t="shared" si="3"/>
        <v>0</v>
      </c>
      <c r="K17" s="57">
        <f t="shared" si="33"/>
        <v>1</v>
      </c>
      <c r="L17" s="57">
        <f t="shared" si="16"/>
        <v>0</v>
      </c>
      <c r="M17" s="58" t="str">
        <f t="shared" si="4"/>
        <v>przerwa1</v>
      </c>
      <c r="N17" s="57">
        <f t="shared" si="17"/>
        <v>1</v>
      </c>
      <c r="O17" s="138"/>
      <c r="P17" s="149"/>
      <c r="Q17" s="138"/>
      <c r="R17" s="8"/>
      <c r="S17" s="60">
        <f t="shared" si="5"/>
        <v>0</v>
      </c>
      <c r="T17" s="60" t="str">
        <f t="shared" si="18"/>
        <v xml:space="preserve"> </v>
      </c>
      <c r="U17" s="60" t="str">
        <f t="shared" si="19"/>
        <v xml:space="preserve"> </v>
      </c>
      <c r="W17">
        <f t="shared" si="20"/>
        <v>480</v>
      </c>
      <c r="X17">
        <f t="shared" si="21"/>
        <v>0</v>
      </c>
      <c r="Y17">
        <f t="shared" si="22"/>
        <v>480</v>
      </c>
      <c r="AD17" s="158">
        <f t="shared" si="24"/>
        <v>8</v>
      </c>
      <c r="AE17" s="158">
        <f t="shared" si="25"/>
        <v>0</v>
      </c>
      <c r="AF17" s="64">
        <f t="shared" si="26"/>
        <v>8</v>
      </c>
      <c r="AG17" s="169">
        <f t="shared" si="27"/>
        <v>16</v>
      </c>
      <c r="AH17" s="169">
        <f t="shared" si="28"/>
        <v>0</v>
      </c>
      <c r="AI17" s="64">
        <f t="shared" si="29"/>
        <v>16</v>
      </c>
      <c r="AJ17" s="169">
        <f t="shared" si="30"/>
        <v>8</v>
      </c>
      <c r="AK17" s="169">
        <f t="shared" si="31"/>
        <v>0</v>
      </c>
      <c r="AL17" s="64">
        <f t="shared" si="32"/>
        <v>8</v>
      </c>
    </row>
    <row r="18" spans="1:38" ht="15.75" x14ac:dyDescent="0.25">
      <c r="A18" s="2">
        <f t="shared" si="23"/>
        <v>46120</v>
      </c>
      <c r="B18" s="2">
        <f t="shared" si="14"/>
        <v>84</v>
      </c>
      <c r="C18" s="54" t="str">
        <f t="shared" si="0"/>
        <v>08.4. środa</v>
      </c>
      <c r="D18" s="159"/>
      <c r="E18" s="117" t="str">
        <f t="shared" si="15"/>
        <v xml:space="preserve"> </v>
      </c>
      <c r="F18" s="115">
        <v>8</v>
      </c>
      <c r="G18" s="115">
        <v>16</v>
      </c>
      <c r="H18" s="55">
        <f t="shared" si="1"/>
        <v>8</v>
      </c>
      <c r="I18" s="55">
        <f t="shared" si="2"/>
        <v>0</v>
      </c>
      <c r="J18" s="56">
        <f t="shared" si="3"/>
        <v>0</v>
      </c>
      <c r="K18" s="57">
        <f t="shared" si="33"/>
        <v>1</v>
      </c>
      <c r="L18" s="57">
        <f t="shared" si="16"/>
        <v>0</v>
      </c>
      <c r="M18" s="58" t="str">
        <f t="shared" si="4"/>
        <v>przerwa1</v>
      </c>
      <c r="N18" s="57">
        <f t="shared" si="17"/>
        <v>1</v>
      </c>
      <c r="O18" s="138"/>
      <c r="P18" s="149"/>
      <c r="Q18" s="138"/>
      <c r="R18" s="8"/>
      <c r="S18" s="60">
        <f t="shared" si="5"/>
        <v>0</v>
      </c>
      <c r="T18" s="60" t="str">
        <f t="shared" si="18"/>
        <v xml:space="preserve"> </v>
      </c>
      <c r="U18" s="60" t="str">
        <f t="shared" si="19"/>
        <v xml:space="preserve"> </v>
      </c>
      <c r="W18">
        <f t="shared" si="20"/>
        <v>480</v>
      </c>
      <c r="X18">
        <f t="shared" si="21"/>
        <v>0</v>
      </c>
      <c r="Y18">
        <f t="shared" si="22"/>
        <v>480</v>
      </c>
      <c r="AD18" s="158">
        <f t="shared" si="24"/>
        <v>8</v>
      </c>
      <c r="AE18" s="158">
        <f t="shared" si="25"/>
        <v>0</v>
      </c>
      <c r="AF18" s="64">
        <f t="shared" si="26"/>
        <v>8</v>
      </c>
      <c r="AG18" s="169">
        <f t="shared" si="27"/>
        <v>16</v>
      </c>
      <c r="AH18" s="169">
        <f t="shared" si="28"/>
        <v>0</v>
      </c>
      <c r="AI18" s="64">
        <f t="shared" si="29"/>
        <v>16</v>
      </c>
      <c r="AJ18" s="169">
        <f t="shared" si="30"/>
        <v>8</v>
      </c>
      <c r="AK18" s="169">
        <f t="shared" si="31"/>
        <v>0</v>
      </c>
      <c r="AL18" s="64">
        <f t="shared" si="32"/>
        <v>8</v>
      </c>
    </row>
    <row r="19" spans="1:38" ht="15.75" x14ac:dyDescent="0.25">
      <c r="A19" s="2">
        <f t="shared" si="23"/>
        <v>46121</v>
      </c>
      <c r="B19" s="2">
        <f t="shared" si="14"/>
        <v>84</v>
      </c>
      <c r="C19" s="54" t="str">
        <f t="shared" si="0"/>
        <v>09.4. czwartek</v>
      </c>
      <c r="D19" s="159"/>
      <c r="E19" s="117" t="str">
        <f t="shared" si="15"/>
        <v xml:space="preserve"> </v>
      </c>
      <c r="F19" s="115">
        <v>8</v>
      </c>
      <c r="G19" s="115">
        <v>16</v>
      </c>
      <c r="H19" s="55">
        <f t="shared" si="1"/>
        <v>8</v>
      </c>
      <c r="I19" s="55">
        <f t="shared" si="2"/>
        <v>0</v>
      </c>
      <c r="J19" s="56">
        <f t="shared" si="3"/>
        <v>0</v>
      </c>
      <c r="K19" s="57">
        <f t="shared" si="33"/>
        <v>1</v>
      </c>
      <c r="L19" s="57">
        <f t="shared" si="16"/>
        <v>0</v>
      </c>
      <c r="M19" s="58" t="str">
        <f t="shared" si="4"/>
        <v>przerwa1</v>
      </c>
      <c r="N19" s="57">
        <f t="shared" si="17"/>
        <v>1</v>
      </c>
      <c r="O19" s="138"/>
      <c r="P19" s="149"/>
      <c r="Q19" s="138"/>
      <c r="R19" s="8"/>
      <c r="S19" s="60">
        <f t="shared" si="5"/>
        <v>0</v>
      </c>
      <c r="T19" s="60" t="str">
        <f t="shared" si="18"/>
        <v xml:space="preserve"> </v>
      </c>
      <c r="U19" s="60" t="str">
        <f t="shared" si="19"/>
        <v xml:space="preserve"> </v>
      </c>
      <c r="W19">
        <f t="shared" si="20"/>
        <v>480</v>
      </c>
      <c r="X19">
        <f t="shared" si="21"/>
        <v>0</v>
      </c>
      <c r="Y19">
        <f t="shared" si="22"/>
        <v>480</v>
      </c>
      <c r="AD19" s="158">
        <f t="shared" si="24"/>
        <v>8</v>
      </c>
      <c r="AE19" s="158">
        <f t="shared" si="25"/>
        <v>0</v>
      </c>
      <c r="AF19" s="64">
        <f t="shared" si="26"/>
        <v>8</v>
      </c>
      <c r="AG19" s="169">
        <f t="shared" si="27"/>
        <v>16</v>
      </c>
      <c r="AH19" s="169">
        <f t="shared" si="28"/>
        <v>0</v>
      </c>
      <c r="AI19" s="64">
        <f t="shared" si="29"/>
        <v>16</v>
      </c>
      <c r="AJ19" s="169">
        <f t="shared" si="30"/>
        <v>8</v>
      </c>
      <c r="AK19" s="169">
        <f t="shared" si="31"/>
        <v>0</v>
      </c>
      <c r="AL19" s="64">
        <f t="shared" si="32"/>
        <v>8</v>
      </c>
    </row>
    <row r="20" spans="1:38" ht="15.75" x14ac:dyDescent="0.25">
      <c r="A20" s="2">
        <f t="shared" si="23"/>
        <v>46122</v>
      </c>
      <c r="B20" s="2">
        <f t="shared" si="14"/>
        <v>84</v>
      </c>
      <c r="C20" s="54" t="str">
        <f t="shared" si="0"/>
        <v>10.4. piątek</v>
      </c>
      <c r="D20" s="159"/>
      <c r="E20" s="117" t="str">
        <f t="shared" si="15"/>
        <v xml:space="preserve"> </v>
      </c>
      <c r="F20" s="115">
        <v>8</v>
      </c>
      <c r="G20" s="115">
        <v>16</v>
      </c>
      <c r="H20" s="55">
        <f t="shared" si="1"/>
        <v>8</v>
      </c>
      <c r="I20" s="55">
        <f t="shared" ref="I20:I21" si="34">IF(AND(D20="gp",F20=""),-(TRUNC(godz/1.5)+((godz/1.5)-TRUNC(godz/1.5))*60/100),IF(AND(D20="gp",F20&lt;&gt;"",G20&lt;&gt;""),ROUND(TRUNC((TRUNC(ROUND((TRUNC(H20-godz)+(((TRUNC(H20)*60)+(H20-TRUNC(H20))*100)-(godz*60)-(TRUNC(H20-godz)*60))/100),2))+((ROUND((TRUNC(H20-godz)+(((TRUNC(H20)*60)+(H20-TRUNC(H20))*100)-(godz*60)-(TRUNC(H20-godz)*60))/100),2)-TRUNC(ROUND((TRUNC(H20-godz)+(((TRUNC(H20)*60)+(H20-TRUNC(H20))*100)-(godz*60)-(TRUNC(H20-godz)*60))/100),2)))*100/60))/1.5)+(((TRUNC(ROUND((TRUNC(H20-godz)+(((TRUNC(H20)*60)+(H20-TRUNC(H20))*100)-(godz*60)-(TRUNC(H20-godz)*60))/100),2))+((ROUND((TRUNC(H20-godz)+(((TRUNC(H20)*60)+(H20-TRUNC(H20))*100)-(godz*60)-(TRUNC(H20-godz)*60))/100),2)-TRUNC(ROUND((TRUNC(H20-godz)+(((TRUNC(H20)*60)+(H20-TRUNC(H20))*100)-(godz*60)-(TRUNC(H20-godz)*60))/100),2)))*100/60))/1.5)-TRUNC((TRUNC(ROUND((TRUNC(H20-godz)+(((TRUNC(H20)*60)+(H20-TRUNC(H20))*100)-(godz*60)-(TRUNC(H20-godz)*60))/100),2))+((ROUND((TRUNC(H20-godz)+(((TRUNC(H20)*60)+(H20-TRUNC(H20))*100)-(godz*60)-(TRUNC(H20-godz)*60))/100),2)-TRUNC(ROUND((TRUNC(H20-godz)+(((TRUNC(H20)*60)+(H20-TRUNC(H20))*100)-(godz*60)-(TRUNC(H20-godz)*60))/100),2)))*100/60))/1.5))*60/100,2),IF(OR((B20=83),(D20="w"),(D20="s"),(D20="c"),(D20="a"),(D20="oc"),(D20="um"),(D20="op"),(D20="uz"),(D20="u")),"",ROUND((TRUNC(H20-godz)+(((TRUNC(H20)*60)+(H20-TRUNC(H20))*100)-(godz*60)-(TRUNC(H20-godz)*60))/100),2))))</f>
        <v>0</v>
      </c>
      <c r="J20" s="56">
        <f t="shared" ref="J20:J21" si="35">IF(D20="gp",(TRUNC(I20)*60+(I20-TRUNC(I20))*100),IF(OR((I20=""),(B20=83)),"",IF((I20=0),0,TRUNC(H20-godz)*60+(((TRUNC(H20)*60)+(H20-TRUNC(H20))*100)-(godz*60)-(TRUNC(H20-godz)*60)))))</f>
        <v>0</v>
      </c>
      <c r="K20" s="57">
        <f t="shared" si="33"/>
        <v>1</v>
      </c>
      <c r="L20" s="57">
        <f t="shared" si="16"/>
        <v>0</v>
      </c>
      <c r="M20" s="58" t="str">
        <f t="shared" si="4"/>
        <v>przerwa1</v>
      </c>
      <c r="N20" s="57">
        <f t="shared" si="17"/>
        <v>1</v>
      </c>
      <c r="O20" s="138"/>
      <c r="P20" s="149"/>
      <c r="Q20" s="138"/>
      <c r="R20" s="8"/>
      <c r="S20" s="60">
        <f t="shared" si="5"/>
        <v>0</v>
      </c>
      <c r="T20" s="60" t="str">
        <f t="shared" si="18"/>
        <v xml:space="preserve"> </v>
      </c>
      <c r="U20" s="60" t="str">
        <f t="shared" si="19"/>
        <v xml:space="preserve"> </v>
      </c>
      <c r="W20">
        <f t="shared" si="20"/>
        <v>480</v>
      </c>
      <c r="X20">
        <f t="shared" si="21"/>
        <v>0</v>
      </c>
      <c r="Y20">
        <f t="shared" si="22"/>
        <v>480</v>
      </c>
      <c r="AD20" s="158">
        <f t="shared" si="24"/>
        <v>8</v>
      </c>
      <c r="AE20" s="158">
        <f t="shared" si="25"/>
        <v>0</v>
      </c>
      <c r="AF20" s="64">
        <f t="shared" si="26"/>
        <v>8</v>
      </c>
      <c r="AG20" s="169">
        <f t="shared" si="27"/>
        <v>16</v>
      </c>
      <c r="AH20" s="169">
        <f t="shared" si="28"/>
        <v>0</v>
      </c>
      <c r="AI20" s="64">
        <f t="shared" si="29"/>
        <v>16</v>
      </c>
      <c r="AJ20" s="169">
        <f t="shared" si="30"/>
        <v>8</v>
      </c>
      <c r="AK20" s="169">
        <f>IF(H20&lt;&gt;"",H20-AJ20,"")</f>
        <v>0</v>
      </c>
      <c r="AL20" s="64">
        <f t="shared" si="32"/>
        <v>8</v>
      </c>
    </row>
    <row r="21" spans="1:38" ht="15.75" x14ac:dyDescent="0.25">
      <c r="A21" s="2">
        <f t="shared" si="23"/>
        <v>46123</v>
      </c>
      <c r="B21" s="2">
        <f t="shared" si="14"/>
        <v>84</v>
      </c>
      <c r="C21" s="54" t="str">
        <f t="shared" si="0"/>
        <v>11.4. sobota</v>
      </c>
      <c r="D21" s="159" t="s">
        <v>47</v>
      </c>
      <c r="E21" s="117" t="str">
        <f t="shared" si="15"/>
        <v>wolne</v>
      </c>
      <c r="F21" s="115"/>
      <c r="G21" s="115"/>
      <c r="H21" s="55" t="str">
        <f t="shared" si="1"/>
        <v/>
      </c>
      <c r="I21" s="55" t="str">
        <f t="shared" si="34"/>
        <v/>
      </c>
      <c r="J21" s="56" t="str">
        <f t="shared" si="35"/>
        <v/>
      </c>
      <c r="K21" s="57">
        <f t="shared" si="33"/>
        <v>0</v>
      </c>
      <c r="L21" s="57">
        <f t="shared" si="16"/>
        <v>0</v>
      </c>
      <c r="M21" s="58" t="str">
        <f t="shared" si="4"/>
        <v>przerwa1</v>
      </c>
      <c r="N21" s="57">
        <f t="shared" si="17"/>
        <v>0</v>
      </c>
      <c r="O21" s="138"/>
      <c r="P21" s="149"/>
      <c r="Q21" s="138"/>
      <c r="R21" s="8"/>
      <c r="S21" s="60" t="str">
        <f t="shared" si="5"/>
        <v xml:space="preserve"> </v>
      </c>
      <c r="T21" s="60" t="str">
        <f t="shared" si="18"/>
        <v xml:space="preserve"> </v>
      </c>
      <c r="U21" s="60" t="str">
        <f t="shared" si="19"/>
        <v xml:space="preserve"> </v>
      </c>
      <c r="W21">
        <f t="shared" si="20"/>
        <v>0</v>
      </c>
      <c r="X21">
        <f t="shared" si="21"/>
        <v>0</v>
      </c>
      <c r="Y21">
        <f t="shared" si="22"/>
        <v>0</v>
      </c>
      <c r="AD21" s="158">
        <f t="shared" si="24"/>
        <v>0</v>
      </c>
      <c r="AE21" s="158">
        <f t="shared" si="25"/>
        <v>0</v>
      </c>
      <c r="AF21" s="64" t="str">
        <f t="shared" si="26"/>
        <v xml:space="preserve"> </v>
      </c>
      <c r="AG21" s="169">
        <f t="shared" si="27"/>
        <v>0</v>
      </c>
      <c r="AH21" s="169">
        <f t="shared" si="28"/>
        <v>0</v>
      </c>
      <c r="AI21" s="64" t="str">
        <f t="shared" si="29"/>
        <v xml:space="preserve"> </v>
      </c>
      <c r="AJ21" s="169" t="str">
        <f t="shared" si="30"/>
        <v/>
      </c>
      <c r="AK21" s="169" t="str">
        <f t="shared" si="31"/>
        <v/>
      </c>
      <c r="AL21" s="64" t="str">
        <f t="shared" si="32"/>
        <v xml:space="preserve"> </v>
      </c>
    </row>
    <row r="22" spans="1:38" ht="15.75" x14ac:dyDescent="0.25">
      <c r="A22" s="2">
        <f t="shared" si="23"/>
        <v>46124</v>
      </c>
      <c r="B22" s="2">
        <f t="shared" si="14"/>
        <v>84</v>
      </c>
      <c r="C22" s="54" t="str">
        <f t="shared" si="0"/>
        <v>12.4. niedziela</v>
      </c>
      <c r="D22" s="159" t="s">
        <v>47</v>
      </c>
      <c r="E22" s="117" t="str">
        <f t="shared" si="15"/>
        <v>wolne</v>
      </c>
      <c r="F22" s="115"/>
      <c r="G22" s="115"/>
      <c r="H22" s="55" t="str">
        <f t="shared" si="1"/>
        <v/>
      </c>
      <c r="I22" s="55" t="str">
        <f t="shared" si="2"/>
        <v/>
      </c>
      <c r="J22" s="56" t="str">
        <f t="shared" si="3"/>
        <v/>
      </c>
      <c r="K22" s="57">
        <f t="shared" si="33"/>
        <v>0</v>
      </c>
      <c r="L22" s="57">
        <f t="shared" si="16"/>
        <v>0</v>
      </c>
      <c r="M22" s="58" t="str">
        <f t="shared" si="4"/>
        <v>przerwa1</v>
      </c>
      <c r="N22" s="57">
        <f t="shared" si="17"/>
        <v>0</v>
      </c>
      <c r="O22" s="138"/>
      <c r="P22" s="149"/>
      <c r="Q22" s="138"/>
      <c r="R22" s="8"/>
      <c r="S22" s="60" t="str">
        <f t="shared" si="5"/>
        <v xml:space="preserve"> </v>
      </c>
      <c r="T22" s="60" t="str">
        <f t="shared" si="18"/>
        <v xml:space="preserve"> </v>
      </c>
      <c r="U22" s="60" t="str">
        <f t="shared" si="19"/>
        <v xml:space="preserve"> </v>
      </c>
      <c r="W22">
        <f t="shared" si="20"/>
        <v>0</v>
      </c>
      <c r="X22">
        <f t="shared" si="21"/>
        <v>0</v>
      </c>
      <c r="Y22">
        <f t="shared" si="22"/>
        <v>0</v>
      </c>
      <c r="AD22" s="158">
        <f t="shared" si="24"/>
        <v>0</v>
      </c>
      <c r="AE22" s="158">
        <f t="shared" si="25"/>
        <v>0</v>
      </c>
      <c r="AF22" s="64" t="str">
        <f t="shared" si="26"/>
        <v xml:space="preserve"> </v>
      </c>
      <c r="AG22" s="169">
        <f t="shared" si="27"/>
        <v>0</v>
      </c>
      <c r="AH22" s="169">
        <f t="shared" si="28"/>
        <v>0</v>
      </c>
      <c r="AI22" s="64" t="str">
        <f t="shared" si="29"/>
        <v xml:space="preserve"> </v>
      </c>
      <c r="AJ22" s="169" t="str">
        <f t="shared" si="30"/>
        <v/>
      </c>
      <c r="AK22" s="169" t="str">
        <f t="shared" si="31"/>
        <v/>
      </c>
      <c r="AL22" s="64" t="str">
        <f t="shared" si="32"/>
        <v xml:space="preserve"> </v>
      </c>
    </row>
    <row r="23" spans="1:38" ht="15.75" x14ac:dyDescent="0.25">
      <c r="A23" s="2">
        <f t="shared" si="23"/>
        <v>46125</v>
      </c>
      <c r="B23" s="2">
        <f t="shared" si="14"/>
        <v>84</v>
      </c>
      <c r="C23" s="54" t="str">
        <f t="shared" si="0"/>
        <v>13.4. poniedziałek</v>
      </c>
      <c r="D23" s="159"/>
      <c r="E23" s="117" t="str">
        <f t="shared" si="15"/>
        <v xml:space="preserve"> </v>
      </c>
      <c r="F23" s="115">
        <v>8</v>
      </c>
      <c r="G23" s="115">
        <v>16</v>
      </c>
      <c r="H23" s="55">
        <f t="shared" si="1"/>
        <v>8</v>
      </c>
      <c r="I23" s="55">
        <f t="shared" si="2"/>
        <v>0</v>
      </c>
      <c r="J23" s="56">
        <f t="shared" si="3"/>
        <v>0</v>
      </c>
      <c r="K23" s="57">
        <f t="shared" si="33"/>
        <v>1</v>
      </c>
      <c r="L23" s="57">
        <f t="shared" si="16"/>
        <v>0</v>
      </c>
      <c r="M23" s="58" t="str">
        <f t="shared" si="4"/>
        <v>przerwa1</v>
      </c>
      <c r="N23" s="57">
        <f t="shared" si="17"/>
        <v>1</v>
      </c>
      <c r="O23" s="138"/>
      <c r="P23" s="149"/>
      <c r="Q23" s="138"/>
      <c r="R23" s="8"/>
      <c r="S23" s="60">
        <f t="shared" si="5"/>
        <v>0</v>
      </c>
      <c r="T23" s="60" t="str">
        <f t="shared" si="18"/>
        <v xml:space="preserve"> </v>
      </c>
      <c r="U23" s="60" t="str">
        <f t="shared" si="19"/>
        <v xml:space="preserve"> </v>
      </c>
      <c r="W23">
        <f t="shared" si="20"/>
        <v>480</v>
      </c>
      <c r="X23">
        <f t="shared" si="21"/>
        <v>0</v>
      </c>
      <c r="Y23">
        <f t="shared" si="22"/>
        <v>480</v>
      </c>
      <c r="AD23" s="158">
        <f t="shared" si="24"/>
        <v>8</v>
      </c>
      <c r="AE23" s="158">
        <f t="shared" si="25"/>
        <v>0</v>
      </c>
      <c r="AF23" s="64">
        <f t="shared" si="26"/>
        <v>8</v>
      </c>
      <c r="AG23" s="169">
        <f t="shared" si="27"/>
        <v>16</v>
      </c>
      <c r="AH23" s="169">
        <f t="shared" si="28"/>
        <v>0</v>
      </c>
      <c r="AI23" s="64">
        <f t="shared" si="29"/>
        <v>16</v>
      </c>
      <c r="AJ23" s="169">
        <f t="shared" si="30"/>
        <v>8</v>
      </c>
      <c r="AK23" s="169">
        <f t="shared" si="31"/>
        <v>0</v>
      </c>
      <c r="AL23" s="64">
        <f t="shared" si="32"/>
        <v>8</v>
      </c>
    </row>
    <row r="24" spans="1:38" ht="15.75" x14ac:dyDescent="0.25">
      <c r="A24" s="2">
        <f t="shared" si="23"/>
        <v>46126</v>
      </c>
      <c r="B24" s="2">
        <f t="shared" si="14"/>
        <v>84</v>
      </c>
      <c r="C24" s="54" t="str">
        <f t="shared" si="0"/>
        <v>14.4. wtorek</v>
      </c>
      <c r="D24" s="159"/>
      <c r="E24" s="117" t="str">
        <f t="shared" si="15"/>
        <v xml:space="preserve"> </v>
      </c>
      <c r="F24" s="115">
        <v>8</v>
      </c>
      <c r="G24" s="115">
        <v>16</v>
      </c>
      <c r="H24" s="55">
        <f t="shared" si="1"/>
        <v>8</v>
      </c>
      <c r="I24" s="55">
        <f t="shared" si="2"/>
        <v>0</v>
      </c>
      <c r="J24" s="56">
        <f t="shared" si="3"/>
        <v>0</v>
      </c>
      <c r="K24" s="57">
        <f t="shared" si="33"/>
        <v>1</v>
      </c>
      <c r="L24" s="57">
        <f t="shared" si="16"/>
        <v>0</v>
      </c>
      <c r="M24" s="58" t="str">
        <f t="shared" si="4"/>
        <v>przerwa1</v>
      </c>
      <c r="N24" s="57">
        <f t="shared" si="17"/>
        <v>1</v>
      </c>
      <c r="O24" s="138"/>
      <c r="P24" s="149"/>
      <c r="Q24" s="138"/>
      <c r="R24" s="8"/>
      <c r="S24" s="60">
        <f t="shared" si="5"/>
        <v>0</v>
      </c>
      <c r="T24" s="60" t="str">
        <f t="shared" si="18"/>
        <v xml:space="preserve"> </v>
      </c>
      <c r="U24" s="60" t="str">
        <f t="shared" si="19"/>
        <v xml:space="preserve"> </v>
      </c>
      <c r="W24">
        <f t="shared" si="20"/>
        <v>480</v>
      </c>
      <c r="X24">
        <f t="shared" si="21"/>
        <v>0</v>
      </c>
      <c r="Y24">
        <f t="shared" si="22"/>
        <v>480</v>
      </c>
      <c r="AD24" s="158">
        <f t="shared" si="24"/>
        <v>8</v>
      </c>
      <c r="AE24" s="158">
        <f t="shared" si="25"/>
        <v>0</v>
      </c>
      <c r="AF24" s="64">
        <f t="shared" si="26"/>
        <v>8</v>
      </c>
      <c r="AG24" s="169">
        <f t="shared" si="27"/>
        <v>16</v>
      </c>
      <c r="AH24" s="169">
        <f t="shared" si="28"/>
        <v>0</v>
      </c>
      <c r="AI24" s="64">
        <f t="shared" si="29"/>
        <v>16</v>
      </c>
      <c r="AJ24" s="169">
        <f t="shared" si="30"/>
        <v>8</v>
      </c>
      <c r="AK24" s="169">
        <f t="shared" si="31"/>
        <v>0</v>
      </c>
      <c r="AL24" s="64">
        <f t="shared" si="32"/>
        <v>8</v>
      </c>
    </row>
    <row r="25" spans="1:38" ht="15.75" x14ac:dyDescent="0.25">
      <c r="A25" s="2">
        <f t="shared" si="23"/>
        <v>46127</v>
      </c>
      <c r="B25" s="2">
        <f t="shared" si="14"/>
        <v>84</v>
      </c>
      <c r="C25" s="54" t="str">
        <f t="shared" si="0"/>
        <v>15.4. środa</v>
      </c>
      <c r="D25" s="159"/>
      <c r="E25" s="117" t="str">
        <f t="shared" si="15"/>
        <v xml:space="preserve"> </v>
      </c>
      <c r="F25" s="115">
        <v>8</v>
      </c>
      <c r="G25" s="115">
        <v>16</v>
      </c>
      <c r="H25" s="55">
        <f t="shared" si="1"/>
        <v>8</v>
      </c>
      <c r="I25" s="55">
        <f t="shared" si="2"/>
        <v>0</v>
      </c>
      <c r="J25" s="56">
        <f t="shared" si="3"/>
        <v>0</v>
      </c>
      <c r="K25" s="57">
        <f t="shared" si="33"/>
        <v>1</v>
      </c>
      <c r="L25" s="57">
        <f t="shared" si="16"/>
        <v>0</v>
      </c>
      <c r="M25" s="58" t="str">
        <f t="shared" si="4"/>
        <v>przerwa1</v>
      </c>
      <c r="N25" s="57">
        <f t="shared" si="17"/>
        <v>1</v>
      </c>
      <c r="O25" s="138"/>
      <c r="P25" s="149"/>
      <c r="Q25" s="138"/>
      <c r="R25" s="8"/>
      <c r="S25" s="60">
        <f t="shared" si="5"/>
        <v>0</v>
      </c>
      <c r="T25" s="60" t="str">
        <f t="shared" si="18"/>
        <v xml:space="preserve"> </v>
      </c>
      <c r="U25" s="60" t="str">
        <f t="shared" si="19"/>
        <v xml:space="preserve"> </v>
      </c>
      <c r="W25">
        <f t="shared" si="20"/>
        <v>480</v>
      </c>
      <c r="X25">
        <f t="shared" si="21"/>
        <v>0</v>
      </c>
      <c r="Y25">
        <f t="shared" si="22"/>
        <v>480</v>
      </c>
      <c r="AD25" s="158">
        <f t="shared" si="24"/>
        <v>8</v>
      </c>
      <c r="AE25" s="158">
        <f t="shared" si="25"/>
        <v>0</v>
      </c>
      <c r="AF25" s="64">
        <f t="shared" si="26"/>
        <v>8</v>
      </c>
      <c r="AG25" s="169">
        <f t="shared" si="27"/>
        <v>16</v>
      </c>
      <c r="AH25" s="169">
        <f t="shared" si="28"/>
        <v>0</v>
      </c>
      <c r="AI25" s="64">
        <f t="shared" si="29"/>
        <v>16</v>
      </c>
      <c r="AJ25" s="169">
        <f t="shared" si="30"/>
        <v>8</v>
      </c>
      <c r="AK25" s="169">
        <f t="shared" si="31"/>
        <v>0</v>
      </c>
      <c r="AL25" s="64">
        <f t="shared" si="32"/>
        <v>8</v>
      </c>
    </row>
    <row r="26" spans="1:38" ht="15.75" x14ac:dyDescent="0.25">
      <c r="A26" s="2">
        <f t="shared" si="23"/>
        <v>46128</v>
      </c>
      <c r="B26" s="2">
        <f t="shared" si="14"/>
        <v>84</v>
      </c>
      <c r="C26" s="54" t="str">
        <f t="shared" si="0"/>
        <v>16.4. czwartek</v>
      </c>
      <c r="D26" s="159"/>
      <c r="E26" s="117" t="str">
        <f t="shared" si="15"/>
        <v xml:space="preserve"> </v>
      </c>
      <c r="F26" s="115">
        <v>8</v>
      </c>
      <c r="G26" s="115">
        <v>16</v>
      </c>
      <c r="H26" s="55">
        <f t="shared" si="1"/>
        <v>8</v>
      </c>
      <c r="I26" s="55">
        <f t="shared" si="2"/>
        <v>0</v>
      </c>
      <c r="J26" s="56">
        <f t="shared" si="3"/>
        <v>0</v>
      </c>
      <c r="K26" s="57">
        <f t="shared" si="33"/>
        <v>1</v>
      </c>
      <c r="L26" s="57">
        <f t="shared" si="16"/>
        <v>0</v>
      </c>
      <c r="M26" s="58" t="str">
        <f t="shared" si="4"/>
        <v>przerwa1</v>
      </c>
      <c r="N26" s="57">
        <f t="shared" si="17"/>
        <v>1</v>
      </c>
      <c r="O26" s="138"/>
      <c r="P26" s="149"/>
      <c r="Q26" s="138"/>
      <c r="R26" s="8"/>
      <c r="S26" s="60">
        <f t="shared" si="5"/>
        <v>0</v>
      </c>
      <c r="T26" s="60" t="str">
        <f t="shared" si="18"/>
        <v xml:space="preserve"> </v>
      </c>
      <c r="U26" s="60" t="str">
        <f t="shared" si="19"/>
        <v xml:space="preserve"> </v>
      </c>
      <c r="W26">
        <f t="shared" si="20"/>
        <v>480</v>
      </c>
      <c r="X26">
        <f t="shared" si="21"/>
        <v>0</v>
      </c>
      <c r="Y26">
        <f t="shared" si="22"/>
        <v>480</v>
      </c>
      <c r="AD26" s="158">
        <f t="shared" si="24"/>
        <v>8</v>
      </c>
      <c r="AE26" s="158">
        <f t="shared" si="25"/>
        <v>0</v>
      </c>
      <c r="AF26" s="64">
        <f t="shared" si="26"/>
        <v>8</v>
      </c>
      <c r="AG26" s="169">
        <f t="shared" si="27"/>
        <v>16</v>
      </c>
      <c r="AH26" s="169">
        <f t="shared" si="28"/>
        <v>0</v>
      </c>
      <c r="AI26" s="64">
        <f t="shared" si="29"/>
        <v>16</v>
      </c>
      <c r="AJ26" s="169">
        <f t="shared" si="30"/>
        <v>8</v>
      </c>
      <c r="AK26" s="169">
        <f t="shared" si="31"/>
        <v>0</v>
      </c>
      <c r="AL26" s="64">
        <f t="shared" si="32"/>
        <v>8</v>
      </c>
    </row>
    <row r="27" spans="1:38" ht="15.75" x14ac:dyDescent="0.25">
      <c r="A27" s="2">
        <f t="shared" si="23"/>
        <v>46129</v>
      </c>
      <c r="B27" s="2">
        <f t="shared" si="14"/>
        <v>84</v>
      </c>
      <c r="C27" s="54" t="str">
        <f t="shared" si="0"/>
        <v>17.4. piątek</v>
      </c>
      <c r="D27" s="159"/>
      <c r="E27" s="117" t="str">
        <f t="shared" si="15"/>
        <v xml:space="preserve"> </v>
      </c>
      <c r="F27" s="115">
        <v>8</v>
      </c>
      <c r="G27" s="115">
        <v>16</v>
      </c>
      <c r="H27" s="55">
        <f t="shared" si="1"/>
        <v>8</v>
      </c>
      <c r="I27" s="55">
        <f t="shared" si="2"/>
        <v>0</v>
      </c>
      <c r="J27" s="56">
        <f t="shared" si="3"/>
        <v>0</v>
      </c>
      <c r="K27" s="57">
        <f t="shared" si="33"/>
        <v>1</v>
      </c>
      <c r="L27" s="57">
        <f t="shared" si="16"/>
        <v>0</v>
      </c>
      <c r="M27" s="58" t="str">
        <f t="shared" si="4"/>
        <v>przerwa1</v>
      </c>
      <c r="N27" s="57">
        <f t="shared" si="17"/>
        <v>1</v>
      </c>
      <c r="O27" s="138"/>
      <c r="P27" s="149"/>
      <c r="Q27" s="138"/>
      <c r="R27" s="8"/>
      <c r="S27" s="60">
        <f t="shared" si="5"/>
        <v>0</v>
      </c>
      <c r="T27" s="60" t="str">
        <f t="shared" si="18"/>
        <v xml:space="preserve"> </v>
      </c>
      <c r="U27" s="60" t="str">
        <f t="shared" si="19"/>
        <v xml:space="preserve"> </v>
      </c>
      <c r="W27">
        <f t="shared" si="20"/>
        <v>480</v>
      </c>
      <c r="X27">
        <f t="shared" si="21"/>
        <v>0</v>
      </c>
      <c r="Y27">
        <f t="shared" si="22"/>
        <v>480</v>
      </c>
      <c r="AD27" s="158">
        <f t="shared" si="24"/>
        <v>8</v>
      </c>
      <c r="AE27" s="158">
        <f t="shared" si="25"/>
        <v>0</v>
      </c>
      <c r="AF27" s="64">
        <f t="shared" si="26"/>
        <v>8</v>
      </c>
      <c r="AG27" s="169">
        <f t="shared" si="27"/>
        <v>16</v>
      </c>
      <c r="AH27" s="169">
        <f t="shared" si="28"/>
        <v>0</v>
      </c>
      <c r="AI27" s="64">
        <f t="shared" si="29"/>
        <v>16</v>
      </c>
      <c r="AJ27" s="169">
        <f t="shared" si="30"/>
        <v>8</v>
      </c>
      <c r="AK27" s="169">
        <f t="shared" si="31"/>
        <v>0</v>
      </c>
      <c r="AL27" s="64">
        <f t="shared" si="32"/>
        <v>8</v>
      </c>
    </row>
    <row r="28" spans="1:38" ht="15.75" x14ac:dyDescent="0.25">
      <c r="A28" s="2">
        <f t="shared" si="23"/>
        <v>46130</v>
      </c>
      <c r="B28" s="2">
        <f t="shared" si="14"/>
        <v>84</v>
      </c>
      <c r="C28" s="54" t="str">
        <f t="shared" si="0"/>
        <v>18.4. sobota</v>
      </c>
      <c r="D28" s="159" t="s">
        <v>47</v>
      </c>
      <c r="E28" s="117" t="str">
        <f t="shared" si="15"/>
        <v>wolne</v>
      </c>
      <c r="F28" s="115"/>
      <c r="G28" s="115"/>
      <c r="H28" s="55" t="str">
        <f t="shared" si="1"/>
        <v/>
      </c>
      <c r="I28" s="55" t="str">
        <f t="shared" si="2"/>
        <v/>
      </c>
      <c r="J28" s="56" t="str">
        <f t="shared" si="3"/>
        <v/>
      </c>
      <c r="K28" s="57">
        <f t="shared" si="33"/>
        <v>0</v>
      </c>
      <c r="L28" s="57">
        <f t="shared" si="16"/>
        <v>0</v>
      </c>
      <c r="M28" s="58" t="str">
        <f t="shared" si="4"/>
        <v>przerwa1</v>
      </c>
      <c r="N28" s="57">
        <f t="shared" si="17"/>
        <v>0</v>
      </c>
      <c r="O28" s="138"/>
      <c r="P28" s="149"/>
      <c r="Q28" s="138"/>
      <c r="R28" s="8"/>
      <c r="S28" s="60" t="str">
        <f t="shared" si="5"/>
        <v xml:space="preserve"> </v>
      </c>
      <c r="T28" s="60" t="str">
        <f t="shared" si="18"/>
        <v xml:space="preserve"> </v>
      </c>
      <c r="U28" s="60" t="str">
        <f t="shared" si="19"/>
        <v xml:space="preserve"> </v>
      </c>
      <c r="W28">
        <f t="shared" si="20"/>
        <v>0</v>
      </c>
      <c r="X28">
        <f t="shared" si="21"/>
        <v>0</v>
      </c>
      <c r="Y28">
        <f t="shared" si="22"/>
        <v>0</v>
      </c>
      <c r="AD28" s="158">
        <f t="shared" si="24"/>
        <v>0</v>
      </c>
      <c r="AE28" s="158">
        <f t="shared" si="25"/>
        <v>0</v>
      </c>
      <c r="AF28" s="64" t="str">
        <f t="shared" si="26"/>
        <v xml:space="preserve"> </v>
      </c>
      <c r="AG28" s="169">
        <f t="shared" si="27"/>
        <v>0</v>
      </c>
      <c r="AH28" s="169">
        <f t="shared" si="28"/>
        <v>0</v>
      </c>
      <c r="AI28" s="64" t="str">
        <f t="shared" si="29"/>
        <v xml:space="preserve"> </v>
      </c>
      <c r="AJ28" s="169" t="str">
        <f t="shared" si="30"/>
        <v/>
      </c>
      <c r="AK28" s="169" t="str">
        <f t="shared" si="31"/>
        <v/>
      </c>
      <c r="AL28" s="64" t="str">
        <f t="shared" si="32"/>
        <v xml:space="preserve"> </v>
      </c>
    </row>
    <row r="29" spans="1:38" ht="15.75" x14ac:dyDescent="0.25">
      <c r="A29" s="2">
        <f t="shared" si="23"/>
        <v>46131</v>
      </c>
      <c r="B29" s="2">
        <f t="shared" si="14"/>
        <v>84</v>
      </c>
      <c r="C29" s="54" t="str">
        <f t="shared" si="0"/>
        <v>19.4. niedziela</v>
      </c>
      <c r="D29" s="159" t="s">
        <v>47</v>
      </c>
      <c r="E29" s="117" t="str">
        <f t="shared" si="15"/>
        <v>wolne</v>
      </c>
      <c r="F29" s="115"/>
      <c r="G29" s="115"/>
      <c r="H29" s="55" t="str">
        <f t="shared" si="1"/>
        <v/>
      </c>
      <c r="I29" s="55" t="str">
        <f t="shared" si="2"/>
        <v/>
      </c>
      <c r="J29" s="56" t="str">
        <f t="shared" si="3"/>
        <v/>
      </c>
      <c r="K29" s="57">
        <f t="shared" si="33"/>
        <v>0</v>
      </c>
      <c r="L29" s="57">
        <f t="shared" si="16"/>
        <v>0</v>
      </c>
      <c r="M29" s="58" t="str">
        <f t="shared" si="4"/>
        <v>przerwa1</v>
      </c>
      <c r="N29" s="57">
        <f t="shared" si="17"/>
        <v>0</v>
      </c>
      <c r="O29" s="138"/>
      <c r="P29" s="149"/>
      <c r="Q29" s="138"/>
      <c r="R29" s="8"/>
      <c r="S29" s="60" t="str">
        <f t="shared" si="5"/>
        <v xml:space="preserve"> </v>
      </c>
      <c r="T29" s="60" t="str">
        <f t="shared" si="18"/>
        <v xml:space="preserve"> </v>
      </c>
      <c r="U29" s="60" t="str">
        <f t="shared" si="19"/>
        <v xml:space="preserve"> </v>
      </c>
      <c r="W29">
        <f t="shared" si="20"/>
        <v>0</v>
      </c>
      <c r="X29">
        <f t="shared" si="21"/>
        <v>0</v>
      </c>
      <c r="Y29">
        <f t="shared" si="22"/>
        <v>0</v>
      </c>
      <c r="AD29" s="158">
        <f t="shared" si="24"/>
        <v>0</v>
      </c>
      <c r="AE29" s="158">
        <f t="shared" si="25"/>
        <v>0</v>
      </c>
      <c r="AF29" s="64" t="str">
        <f t="shared" si="26"/>
        <v xml:space="preserve"> </v>
      </c>
      <c r="AG29" s="169">
        <f t="shared" si="27"/>
        <v>0</v>
      </c>
      <c r="AH29" s="169">
        <f t="shared" si="28"/>
        <v>0</v>
      </c>
      <c r="AI29" s="64" t="str">
        <f t="shared" si="29"/>
        <v xml:space="preserve"> </v>
      </c>
      <c r="AJ29" s="169" t="str">
        <f t="shared" si="30"/>
        <v/>
      </c>
      <c r="AK29" s="169" t="str">
        <f t="shared" si="31"/>
        <v/>
      </c>
      <c r="AL29" s="64" t="str">
        <f t="shared" si="32"/>
        <v xml:space="preserve"> </v>
      </c>
    </row>
    <row r="30" spans="1:38" ht="15.75" x14ac:dyDescent="0.25">
      <c r="A30" s="2">
        <f t="shared" si="23"/>
        <v>46132</v>
      </c>
      <c r="B30" s="2">
        <f t="shared" si="14"/>
        <v>84</v>
      </c>
      <c r="C30" s="54" t="str">
        <f t="shared" si="0"/>
        <v>20.4. poniedziałek</v>
      </c>
      <c r="D30" s="159"/>
      <c r="E30" s="117" t="str">
        <f t="shared" si="15"/>
        <v xml:space="preserve"> </v>
      </c>
      <c r="F30" s="115">
        <v>8</v>
      </c>
      <c r="G30" s="115">
        <v>16</v>
      </c>
      <c r="H30" s="55">
        <f t="shared" si="1"/>
        <v>8</v>
      </c>
      <c r="I30" s="55">
        <f t="shared" si="2"/>
        <v>0</v>
      </c>
      <c r="J30" s="56">
        <f t="shared" si="3"/>
        <v>0</v>
      </c>
      <c r="K30" s="57">
        <f t="shared" si="33"/>
        <v>1</v>
      </c>
      <c r="L30" s="57">
        <f t="shared" si="16"/>
        <v>0</v>
      </c>
      <c r="M30" s="58" t="str">
        <f t="shared" si="4"/>
        <v>przerwa1</v>
      </c>
      <c r="N30" s="57">
        <f t="shared" si="17"/>
        <v>1</v>
      </c>
      <c r="O30" s="138"/>
      <c r="P30" s="149"/>
      <c r="Q30" s="138"/>
      <c r="R30" s="8"/>
      <c r="S30" s="60">
        <f t="shared" si="5"/>
        <v>0</v>
      </c>
      <c r="T30" s="60" t="str">
        <f t="shared" si="18"/>
        <v xml:space="preserve"> </v>
      </c>
      <c r="U30" s="60" t="str">
        <f t="shared" si="19"/>
        <v xml:space="preserve"> </v>
      </c>
      <c r="W30">
        <f t="shared" si="20"/>
        <v>480</v>
      </c>
      <c r="X30">
        <f t="shared" si="21"/>
        <v>0</v>
      </c>
      <c r="Y30">
        <f t="shared" si="22"/>
        <v>480</v>
      </c>
      <c r="AD30" s="158">
        <f t="shared" si="24"/>
        <v>8</v>
      </c>
      <c r="AE30" s="158">
        <f t="shared" si="25"/>
        <v>0</v>
      </c>
      <c r="AF30" s="64">
        <f t="shared" si="26"/>
        <v>8</v>
      </c>
      <c r="AG30" s="169">
        <f t="shared" si="27"/>
        <v>16</v>
      </c>
      <c r="AH30" s="169">
        <f t="shared" si="28"/>
        <v>0</v>
      </c>
      <c r="AI30" s="64">
        <f t="shared" si="29"/>
        <v>16</v>
      </c>
      <c r="AJ30" s="169">
        <f t="shared" si="30"/>
        <v>8</v>
      </c>
      <c r="AK30" s="169">
        <f t="shared" si="31"/>
        <v>0</v>
      </c>
      <c r="AL30" s="64">
        <f t="shared" si="32"/>
        <v>8</v>
      </c>
    </row>
    <row r="31" spans="1:38" ht="15.75" x14ac:dyDescent="0.25">
      <c r="A31" s="2">
        <f t="shared" si="23"/>
        <v>46133</v>
      </c>
      <c r="B31" s="2">
        <f t="shared" si="14"/>
        <v>84</v>
      </c>
      <c r="C31" s="54" t="str">
        <f t="shared" si="0"/>
        <v>21.4. wtorek</v>
      </c>
      <c r="D31" s="159"/>
      <c r="E31" s="117" t="str">
        <f t="shared" si="15"/>
        <v xml:space="preserve"> </v>
      </c>
      <c r="F31" s="115">
        <v>8</v>
      </c>
      <c r="G31" s="115">
        <v>16</v>
      </c>
      <c r="H31" s="55">
        <f t="shared" si="1"/>
        <v>8</v>
      </c>
      <c r="I31" s="55">
        <f t="shared" si="2"/>
        <v>0</v>
      </c>
      <c r="J31" s="56">
        <f t="shared" si="3"/>
        <v>0</v>
      </c>
      <c r="K31" s="57">
        <f t="shared" si="33"/>
        <v>1</v>
      </c>
      <c r="L31" s="57">
        <f t="shared" si="16"/>
        <v>0</v>
      </c>
      <c r="M31" s="58" t="str">
        <f t="shared" si="4"/>
        <v>przerwa1</v>
      </c>
      <c r="N31" s="57">
        <f t="shared" si="17"/>
        <v>1</v>
      </c>
      <c r="O31" s="138"/>
      <c r="P31" s="149"/>
      <c r="R31" s="8"/>
      <c r="S31" s="60">
        <f t="shared" si="5"/>
        <v>0</v>
      </c>
      <c r="T31" s="60" t="str">
        <f t="shared" si="18"/>
        <v xml:space="preserve"> </v>
      </c>
      <c r="U31" s="60" t="str">
        <f t="shared" si="19"/>
        <v xml:space="preserve"> </v>
      </c>
      <c r="W31">
        <f t="shared" si="20"/>
        <v>480</v>
      </c>
      <c r="X31">
        <f t="shared" si="21"/>
        <v>0</v>
      </c>
      <c r="Y31">
        <f t="shared" si="22"/>
        <v>480</v>
      </c>
      <c r="AD31" s="158">
        <f t="shared" si="24"/>
        <v>8</v>
      </c>
      <c r="AE31" s="158">
        <f t="shared" si="25"/>
        <v>0</v>
      </c>
      <c r="AF31" s="64">
        <f t="shared" si="26"/>
        <v>8</v>
      </c>
      <c r="AG31" s="169">
        <f t="shared" si="27"/>
        <v>16</v>
      </c>
      <c r="AH31" s="169">
        <f t="shared" si="28"/>
        <v>0</v>
      </c>
      <c r="AI31" s="64">
        <f t="shared" si="29"/>
        <v>16</v>
      </c>
      <c r="AJ31" s="169">
        <f t="shared" si="30"/>
        <v>8</v>
      </c>
      <c r="AK31" s="169">
        <f t="shared" si="31"/>
        <v>0</v>
      </c>
      <c r="AL31" s="64">
        <f t="shared" si="32"/>
        <v>8</v>
      </c>
    </row>
    <row r="32" spans="1:38" ht="15.75" x14ac:dyDescent="0.25">
      <c r="A32" s="2">
        <f t="shared" si="23"/>
        <v>46134</v>
      </c>
      <c r="B32" s="2">
        <f t="shared" si="14"/>
        <v>84</v>
      </c>
      <c r="C32" s="54" t="str">
        <f t="shared" si="0"/>
        <v>22.4. środa</v>
      </c>
      <c r="D32" s="159"/>
      <c r="E32" s="117" t="str">
        <f t="shared" si="15"/>
        <v xml:space="preserve"> </v>
      </c>
      <c r="F32" s="115">
        <v>8</v>
      </c>
      <c r="G32" s="115">
        <v>16</v>
      </c>
      <c r="H32" s="55">
        <f t="shared" si="1"/>
        <v>8</v>
      </c>
      <c r="I32" s="55">
        <f t="shared" si="2"/>
        <v>0</v>
      </c>
      <c r="J32" s="56">
        <f t="shared" si="3"/>
        <v>0</v>
      </c>
      <c r="K32" s="57">
        <f t="shared" si="33"/>
        <v>1</v>
      </c>
      <c r="L32" s="57">
        <f t="shared" si="16"/>
        <v>0</v>
      </c>
      <c r="M32" s="58" t="str">
        <f t="shared" si="4"/>
        <v>przerwa1</v>
      </c>
      <c r="N32" s="57">
        <f t="shared" si="17"/>
        <v>1</v>
      </c>
      <c r="O32" s="138"/>
      <c r="P32" s="149"/>
      <c r="Q32" s="138"/>
      <c r="R32" s="8"/>
      <c r="S32" s="60">
        <f t="shared" si="5"/>
        <v>0</v>
      </c>
      <c r="T32" s="60" t="str">
        <f t="shared" si="18"/>
        <v xml:space="preserve"> </v>
      </c>
      <c r="U32" s="60" t="str">
        <f t="shared" si="19"/>
        <v xml:space="preserve"> </v>
      </c>
      <c r="W32">
        <f t="shared" si="20"/>
        <v>480</v>
      </c>
      <c r="X32">
        <f t="shared" si="21"/>
        <v>0</v>
      </c>
      <c r="Y32">
        <f t="shared" si="22"/>
        <v>480</v>
      </c>
      <c r="AD32" s="158">
        <f t="shared" si="24"/>
        <v>8</v>
      </c>
      <c r="AE32" s="158">
        <f t="shared" si="25"/>
        <v>0</v>
      </c>
      <c r="AF32" s="64">
        <f t="shared" si="26"/>
        <v>8</v>
      </c>
      <c r="AG32" s="169">
        <f t="shared" si="27"/>
        <v>16</v>
      </c>
      <c r="AH32" s="169">
        <f t="shared" si="28"/>
        <v>0</v>
      </c>
      <c r="AI32" s="64">
        <f t="shared" si="29"/>
        <v>16</v>
      </c>
      <c r="AJ32" s="169">
        <f t="shared" si="30"/>
        <v>8</v>
      </c>
      <c r="AK32" s="169">
        <f t="shared" si="31"/>
        <v>0</v>
      </c>
      <c r="AL32" s="64">
        <f t="shared" si="32"/>
        <v>8</v>
      </c>
    </row>
    <row r="33" spans="1:38" ht="15.75" x14ac:dyDescent="0.25">
      <c r="A33" s="2">
        <f t="shared" si="23"/>
        <v>46135</v>
      </c>
      <c r="B33" s="2">
        <f t="shared" si="14"/>
        <v>84</v>
      </c>
      <c r="C33" s="54" t="str">
        <f t="shared" si="0"/>
        <v>23.4. czwartek</v>
      </c>
      <c r="D33" s="159"/>
      <c r="E33" s="117" t="str">
        <f t="shared" si="15"/>
        <v xml:space="preserve"> </v>
      </c>
      <c r="F33" s="115">
        <v>8</v>
      </c>
      <c r="G33" s="115">
        <v>16</v>
      </c>
      <c r="H33" s="55">
        <f t="shared" si="1"/>
        <v>8</v>
      </c>
      <c r="I33" s="55">
        <f t="shared" si="2"/>
        <v>0</v>
      </c>
      <c r="J33" s="56">
        <f t="shared" si="3"/>
        <v>0</v>
      </c>
      <c r="K33" s="57">
        <f t="shared" si="33"/>
        <v>1</v>
      </c>
      <c r="L33" s="57">
        <f t="shared" si="16"/>
        <v>0</v>
      </c>
      <c r="M33" s="58" t="str">
        <f t="shared" si="4"/>
        <v>przerwa1</v>
      </c>
      <c r="N33" s="57">
        <f t="shared" si="17"/>
        <v>1</v>
      </c>
      <c r="O33" s="138"/>
      <c r="P33" s="149"/>
      <c r="Q33" s="138"/>
      <c r="R33" s="8"/>
      <c r="S33" s="60">
        <f t="shared" si="5"/>
        <v>0</v>
      </c>
      <c r="T33" s="60" t="str">
        <f t="shared" si="18"/>
        <v xml:space="preserve"> </v>
      </c>
      <c r="U33" s="60" t="str">
        <f t="shared" si="19"/>
        <v xml:space="preserve"> </v>
      </c>
      <c r="W33">
        <f t="shared" si="20"/>
        <v>480</v>
      </c>
      <c r="X33">
        <f t="shared" si="21"/>
        <v>0</v>
      </c>
      <c r="Y33">
        <f t="shared" si="22"/>
        <v>480</v>
      </c>
      <c r="AD33" s="158">
        <f t="shared" si="24"/>
        <v>8</v>
      </c>
      <c r="AE33" s="158">
        <f t="shared" si="25"/>
        <v>0</v>
      </c>
      <c r="AF33" s="64">
        <f t="shared" si="26"/>
        <v>8</v>
      </c>
      <c r="AG33" s="169">
        <f t="shared" si="27"/>
        <v>16</v>
      </c>
      <c r="AH33" s="169">
        <f t="shared" si="28"/>
        <v>0</v>
      </c>
      <c r="AI33" s="64">
        <f t="shared" si="29"/>
        <v>16</v>
      </c>
      <c r="AJ33" s="169">
        <f t="shared" si="30"/>
        <v>8</v>
      </c>
      <c r="AK33" s="169">
        <f t="shared" si="31"/>
        <v>0</v>
      </c>
      <c r="AL33" s="64">
        <f t="shared" si="32"/>
        <v>8</v>
      </c>
    </row>
    <row r="34" spans="1:38" ht="15.75" x14ac:dyDescent="0.25">
      <c r="A34" s="2">
        <f t="shared" si="23"/>
        <v>46136</v>
      </c>
      <c r="B34" s="2">
        <f t="shared" si="14"/>
        <v>84</v>
      </c>
      <c r="C34" s="54" t="str">
        <f t="shared" si="0"/>
        <v>24.4. piątek</v>
      </c>
      <c r="D34" s="159"/>
      <c r="E34" s="117" t="str">
        <f t="shared" si="15"/>
        <v xml:space="preserve"> </v>
      </c>
      <c r="F34" s="115">
        <v>8</v>
      </c>
      <c r="G34" s="115">
        <v>16</v>
      </c>
      <c r="H34" s="55">
        <f t="shared" si="1"/>
        <v>8</v>
      </c>
      <c r="I34" s="55">
        <f t="shared" si="2"/>
        <v>0</v>
      </c>
      <c r="J34" s="56">
        <f t="shared" si="3"/>
        <v>0</v>
      </c>
      <c r="K34" s="57">
        <f t="shared" si="33"/>
        <v>1</v>
      </c>
      <c r="L34" s="57">
        <f t="shared" si="16"/>
        <v>0</v>
      </c>
      <c r="M34" s="58" t="str">
        <f t="shared" si="4"/>
        <v>przerwa1</v>
      </c>
      <c r="N34" s="57">
        <f t="shared" si="17"/>
        <v>1</v>
      </c>
      <c r="O34" s="138"/>
      <c r="P34" s="149"/>
      <c r="Q34" s="138"/>
      <c r="R34" s="8"/>
      <c r="S34" s="60">
        <f t="shared" si="5"/>
        <v>0</v>
      </c>
      <c r="T34" s="60" t="str">
        <f t="shared" si="18"/>
        <v xml:space="preserve"> </v>
      </c>
      <c r="U34" s="60" t="str">
        <f t="shared" si="19"/>
        <v xml:space="preserve"> </v>
      </c>
      <c r="W34">
        <f t="shared" si="20"/>
        <v>480</v>
      </c>
      <c r="X34">
        <f t="shared" si="21"/>
        <v>0</v>
      </c>
      <c r="Y34">
        <f t="shared" si="22"/>
        <v>480</v>
      </c>
      <c r="AD34" s="158">
        <f t="shared" si="24"/>
        <v>8</v>
      </c>
      <c r="AE34" s="158">
        <f t="shared" si="25"/>
        <v>0</v>
      </c>
      <c r="AF34" s="64">
        <f t="shared" si="26"/>
        <v>8</v>
      </c>
      <c r="AG34" s="169">
        <f t="shared" si="27"/>
        <v>16</v>
      </c>
      <c r="AH34" s="169">
        <f t="shared" si="28"/>
        <v>0</v>
      </c>
      <c r="AI34" s="64">
        <f t="shared" si="29"/>
        <v>16</v>
      </c>
      <c r="AJ34" s="169">
        <f t="shared" si="30"/>
        <v>8</v>
      </c>
      <c r="AK34" s="169">
        <f t="shared" si="31"/>
        <v>0</v>
      </c>
      <c r="AL34" s="64">
        <f t="shared" si="32"/>
        <v>8</v>
      </c>
    </row>
    <row r="35" spans="1:38" ht="15.75" x14ac:dyDescent="0.25">
      <c r="A35" s="2">
        <f t="shared" si="23"/>
        <v>46137</v>
      </c>
      <c r="B35" s="2">
        <f t="shared" si="14"/>
        <v>84</v>
      </c>
      <c r="C35" s="54" t="str">
        <f t="shared" si="0"/>
        <v>25.4. sobota</v>
      </c>
      <c r="D35" s="159" t="s">
        <v>47</v>
      </c>
      <c r="E35" s="117" t="str">
        <f t="shared" si="15"/>
        <v>wolne</v>
      </c>
      <c r="F35" s="115"/>
      <c r="G35" s="115"/>
      <c r="H35" s="55" t="str">
        <f t="shared" si="1"/>
        <v/>
      </c>
      <c r="I35" s="55" t="str">
        <f t="shared" si="2"/>
        <v/>
      </c>
      <c r="J35" s="56" t="str">
        <f t="shared" si="3"/>
        <v/>
      </c>
      <c r="K35" s="57">
        <f t="shared" si="33"/>
        <v>0</v>
      </c>
      <c r="L35" s="57">
        <f t="shared" si="16"/>
        <v>0</v>
      </c>
      <c r="M35" s="58" t="str">
        <f t="shared" si="4"/>
        <v>przerwa1</v>
      </c>
      <c r="N35" s="57">
        <f t="shared" si="17"/>
        <v>0</v>
      </c>
      <c r="O35" s="138"/>
      <c r="P35" s="149"/>
      <c r="Q35" s="138"/>
      <c r="R35" s="8"/>
      <c r="S35" s="60" t="str">
        <f t="shared" si="5"/>
        <v xml:space="preserve"> </v>
      </c>
      <c r="T35" s="60" t="str">
        <f t="shared" si="18"/>
        <v xml:space="preserve"> </v>
      </c>
      <c r="U35" s="60" t="str">
        <f t="shared" si="19"/>
        <v xml:space="preserve"> </v>
      </c>
      <c r="W35">
        <f t="shared" si="20"/>
        <v>0</v>
      </c>
      <c r="X35">
        <f t="shared" si="21"/>
        <v>0</v>
      </c>
      <c r="Y35">
        <f t="shared" si="22"/>
        <v>0</v>
      </c>
      <c r="AD35" s="158">
        <f t="shared" si="24"/>
        <v>0</v>
      </c>
      <c r="AE35" s="158">
        <f t="shared" si="25"/>
        <v>0</v>
      </c>
      <c r="AF35" s="64" t="str">
        <f t="shared" si="26"/>
        <v xml:space="preserve"> </v>
      </c>
      <c r="AG35" s="169">
        <f t="shared" si="27"/>
        <v>0</v>
      </c>
      <c r="AH35" s="169">
        <f t="shared" si="28"/>
        <v>0</v>
      </c>
      <c r="AI35" s="64" t="str">
        <f t="shared" si="29"/>
        <v xml:space="preserve"> </v>
      </c>
      <c r="AJ35" s="169" t="str">
        <f t="shared" si="30"/>
        <v/>
      </c>
      <c r="AK35" s="169" t="str">
        <f t="shared" si="31"/>
        <v/>
      </c>
      <c r="AL35" s="64" t="str">
        <f t="shared" si="32"/>
        <v xml:space="preserve"> </v>
      </c>
    </row>
    <row r="36" spans="1:38" ht="15.75" x14ac:dyDescent="0.25">
      <c r="A36" s="2">
        <f t="shared" si="23"/>
        <v>46138</v>
      </c>
      <c r="B36" s="2">
        <f t="shared" si="14"/>
        <v>84</v>
      </c>
      <c r="C36" s="54" t="str">
        <f t="shared" si="0"/>
        <v>26.4. niedziela</v>
      </c>
      <c r="D36" s="159" t="s">
        <v>47</v>
      </c>
      <c r="E36" s="117" t="str">
        <f t="shared" si="15"/>
        <v>wolne</v>
      </c>
      <c r="F36" s="115"/>
      <c r="G36" s="115"/>
      <c r="H36" s="55" t="str">
        <f t="shared" si="1"/>
        <v/>
      </c>
      <c r="I36" s="55" t="str">
        <f t="shared" si="2"/>
        <v/>
      </c>
      <c r="J36" s="56" t="str">
        <f t="shared" si="3"/>
        <v/>
      </c>
      <c r="K36" s="57">
        <f t="shared" si="33"/>
        <v>0</v>
      </c>
      <c r="L36" s="57">
        <f t="shared" si="16"/>
        <v>0</v>
      </c>
      <c r="M36" s="58" t="str">
        <f t="shared" si="4"/>
        <v>przerwa1</v>
      </c>
      <c r="N36" s="57">
        <f t="shared" si="17"/>
        <v>0</v>
      </c>
      <c r="O36" s="138"/>
      <c r="P36" s="149"/>
      <c r="Q36" s="138"/>
      <c r="R36" s="8"/>
      <c r="S36" s="60" t="str">
        <f t="shared" si="5"/>
        <v xml:space="preserve"> </v>
      </c>
      <c r="T36" s="60" t="str">
        <f t="shared" si="18"/>
        <v xml:space="preserve"> </v>
      </c>
      <c r="U36" s="60" t="str">
        <f t="shared" si="19"/>
        <v xml:space="preserve"> </v>
      </c>
      <c r="W36">
        <f t="shared" si="20"/>
        <v>0</v>
      </c>
      <c r="X36">
        <f t="shared" si="21"/>
        <v>0</v>
      </c>
      <c r="Y36">
        <f t="shared" si="22"/>
        <v>0</v>
      </c>
      <c r="AD36" s="158">
        <f t="shared" si="24"/>
        <v>0</v>
      </c>
      <c r="AE36" s="158">
        <f t="shared" si="25"/>
        <v>0</v>
      </c>
      <c r="AF36" s="64" t="str">
        <f t="shared" si="26"/>
        <v xml:space="preserve"> </v>
      </c>
      <c r="AG36" s="169">
        <f t="shared" si="27"/>
        <v>0</v>
      </c>
      <c r="AH36" s="169">
        <f t="shared" si="28"/>
        <v>0</v>
      </c>
      <c r="AI36" s="64" t="str">
        <f t="shared" si="29"/>
        <v xml:space="preserve"> </v>
      </c>
      <c r="AJ36" s="169" t="str">
        <f t="shared" si="30"/>
        <v/>
      </c>
      <c r="AK36" s="169" t="str">
        <f t="shared" si="31"/>
        <v/>
      </c>
      <c r="AL36" s="64" t="str">
        <f t="shared" si="32"/>
        <v xml:space="preserve"> </v>
      </c>
    </row>
    <row r="37" spans="1:38" ht="15.75" x14ac:dyDescent="0.25">
      <c r="A37" s="2">
        <f t="shared" si="23"/>
        <v>46139</v>
      </c>
      <c r="B37" s="2">
        <f t="shared" si="14"/>
        <v>84</v>
      </c>
      <c r="C37" s="54" t="str">
        <f t="shared" si="0"/>
        <v>27.4. poniedziałek</v>
      </c>
      <c r="D37" s="159"/>
      <c r="E37" s="117" t="str">
        <f t="shared" si="15"/>
        <v xml:space="preserve"> </v>
      </c>
      <c r="F37" s="115">
        <v>8</v>
      </c>
      <c r="G37" s="115">
        <v>16</v>
      </c>
      <c r="H37" s="55">
        <f t="shared" si="1"/>
        <v>8</v>
      </c>
      <c r="I37" s="55">
        <f t="shared" si="2"/>
        <v>0</v>
      </c>
      <c r="J37" s="56">
        <f t="shared" si="3"/>
        <v>0</v>
      </c>
      <c r="K37" s="57">
        <f t="shared" si="33"/>
        <v>1</v>
      </c>
      <c r="L37" s="57">
        <f t="shared" si="16"/>
        <v>0</v>
      </c>
      <c r="M37" s="58" t="str">
        <f t="shared" si="4"/>
        <v>przerwa1</v>
      </c>
      <c r="N37" s="57">
        <f t="shared" si="17"/>
        <v>1</v>
      </c>
      <c r="O37" s="138"/>
      <c r="P37" s="149"/>
      <c r="Q37" s="138"/>
      <c r="R37" s="8"/>
      <c r="S37" s="60">
        <f t="shared" si="5"/>
        <v>0</v>
      </c>
      <c r="T37" s="60" t="str">
        <f t="shared" si="18"/>
        <v xml:space="preserve"> </v>
      </c>
      <c r="U37" s="60" t="str">
        <f t="shared" si="19"/>
        <v xml:space="preserve"> </v>
      </c>
      <c r="W37">
        <f t="shared" si="20"/>
        <v>480</v>
      </c>
      <c r="X37">
        <f t="shared" si="21"/>
        <v>0</v>
      </c>
      <c r="Y37">
        <f t="shared" si="22"/>
        <v>480</v>
      </c>
      <c r="AD37" s="158">
        <f t="shared" si="24"/>
        <v>8</v>
      </c>
      <c r="AE37" s="158">
        <f t="shared" si="25"/>
        <v>0</v>
      </c>
      <c r="AF37" s="64">
        <f t="shared" si="26"/>
        <v>8</v>
      </c>
      <c r="AG37" s="169">
        <f t="shared" si="27"/>
        <v>16</v>
      </c>
      <c r="AH37" s="169">
        <f t="shared" si="28"/>
        <v>0</v>
      </c>
      <c r="AI37" s="64">
        <f t="shared" si="29"/>
        <v>16</v>
      </c>
      <c r="AJ37" s="169">
        <f t="shared" si="30"/>
        <v>8</v>
      </c>
      <c r="AK37" s="169">
        <f t="shared" si="31"/>
        <v>0</v>
      </c>
      <c r="AL37" s="64">
        <f t="shared" si="32"/>
        <v>8</v>
      </c>
    </row>
    <row r="38" spans="1:38" ht="15.75" x14ac:dyDescent="0.25">
      <c r="A38" s="2">
        <f t="shared" si="23"/>
        <v>46140</v>
      </c>
      <c r="B38" s="2">
        <f t="shared" si="14"/>
        <v>84</v>
      </c>
      <c r="C38" s="54" t="str">
        <f t="shared" si="0"/>
        <v>28.4. wtorek</v>
      </c>
      <c r="D38" s="159"/>
      <c r="E38" s="117" t="str">
        <f t="shared" si="15"/>
        <v xml:space="preserve"> </v>
      </c>
      <c r="F38" s="115">
        <v>8</v>
      </c>
      <c r="G38" s="115">
        <v>16</v>
      </c>
      <c r="H38" s="55">
        <f t="shared" si="1"/>
        <v>8</v>
      </c>
      <c r="I38" s="55">
        <f t="shared" si="2"/>
        <v>0</v>
      </c>
      <c r="J38" s="56">
        <f t="shared" si="3"/>
        <v>0</v>
      </c>
      <c r="K38" s="57">
        <f t="shared" si="33"/>
        <v>1</v>
      </c>
      <c r="L38" s="57">
        <f t="shared" si="16"/>
        <v>0</v>
      </c>
      <c r="M38" s="58" t="str">
        <f t="shared" si="4"/>
        <v>przerwa1</v>
      </c>
      <c r="N38" s="57">
        <f t="shared" si="17"/>
        <v>1</v>
      </c>
      <c r="O38" s="138"/>
      <c r="P38" s="149"/>
      <c r="Q38" s="138"/>
      <c r="R38" s="8"/>
      <c r="S38" s="60">
        <f t="shared" si="5"/>
        <v>0</v>
      </c>
      <c r="T38" s="60" t="str">
        <f t="shared" si="18"/>
        <v xml:space="preserve"> </v>
      </c>
      <c r="U38" s="60" t="str">
        <f t="shared" si="19"/>
        <v xml:space="preserve"> </v>
      </c>
      <c r="W38">
        <f t="shared" si="20"/>
        <v>480</v>
      </c>
      <c r="X38">
        <f t="shared" si="21"/>
        <v>0</v>
      </c>
      <c r="Y38">
        <f t="shared" si="22"/>
        <v>480</v>
      </c>
      <c r="AD38" s="158">
        <f t="shared" si="24"/>
        <v>8</v>
      </c>
      <c r="AE38" s="158">
        <f t="shared" si="25"/>
        <v>0</v>
      </c>
      <c r="AF38" s="64">
        <f t="shared" si="26"/>
        <v>8</v>
      </c>
      <c r="AG38" s="169">
        <f t="shared" si="27"/>
        <v>16</v>
      </c>
      <c r="AH38" s="169">
        <f t="shared" si="28"/>
        <v>0</v>
      </c>
      <c r="AI38" s="64">
        <f t="shared" si="29"/>
        <v>16</v>
      </c>
      <c r="AJ38" s="169">
        <f t="shared" si="30"/>
        <v>8</v>
      </c>
      <c r="AK38" s="169">
        <f t="shared" si="31"/>
        <v>0</v>
      </c>
      <c r="AL38" s="64">
        <f t="shared" si="32"/>
        <v>8</v>
      </c>
    </row>
    <row r="39" spans="1:38" ht="15.75" x14ac:dyDescent="0.25">
      <c r="A39" s="2">
        <f t="shared" si="23"/>
        <v>46141</v>
      </c>
      <c r="B39" s="2">
        <f t="shared" si="14"/>
        <v>84</v>
      </c>
      <c r="C39" s="54" t="str">
        <f t="shared" si="0"/>
        <v>29.4. środa</v>
      </c>
      <c r="D39" s="159"/>
      <c r="E39" s="117" t="str">
        <f t="shared" si="15"/>
        <v xml:space="preserve"> </v>
      </c>
      <c r="F39" s="115">
        <v>8</v>
      </c>
      <c r="G39" s="115">
        <v>16</v>
      </c>
      <c r="H39" s="55">
        <f t="shared" si="1"/>
        <v>8</v>
      </c>
      <c r="I39" s="55">
        <f t="shared" si="2"/>
        <v>0</v>
      </c>
      <c r="J39" s="56">
        <f t="shared" si="3"/>
        <v>0</v>
      </c>
      <c r="K39" s="57">
        <f t="shared" si="33"/>
        <v>1</v>
      </c>
      <c r="L39" s="57">
        <f t="shared" si="16"/>
        <v>0</v>
      </c>
      <c r="M39" s="58" t="str">
        <f t="shared" si="4"/>
        <v>przerwa1</v>
      </c>
      <c r="N39" s="57">
        <f t="shared" si="17"/>
        <v>1</v>
      </c>
      <c r="O39" s="138"/>
      <c r="P39" s="149"/>
      <c r="Q39" s="138"/>
      <c r="R39" s="8"/>
      <c r="S39" s="60">
        <f t="shared" si="5"/>
        <v>0</v>
      </c>
      <c r="T39" s="60" t="str">
        <f t="shared" si="18"/>
        <v xml:space="preserve"> </v>
      </c>
      <c r="U39" s="60" t="str">
        <f t="shared" si="19"/>
        <v xml:space="preserve"> </v>
      </c>
      <c r="W39">
        <f t="shared" si="20"/>
        <v>480</v>
      </c>
      <c r="X39">
        <f t="shared" si="21"/>
        <v>0</v>
      </c>
      <c r="Y39">
        <f t="shared" si="22"/>
        <v>480</v>
      </c>
      <c r="AD39" s="158">
        <f t="shared" si="24"/>
        <v>8</v>
      </c>
      <c r="AE39" s="158">
        <f t="shared" si="25"/>
        <v>0</v>
      </c>
      <c r="AF39" s="64">
        <f t="shared" si="26"/>
        <v>8</v>
      </c>
      <c r="AG39" s="169">
        <f t="shared" si="27"/>
        <v>16</v>
      </c>
      <c r="AH39" s="169">
        <f t="shared" si="28"/>
        <v>0</v>
      </c>
      <c r="AI39" s="64">
        <f t="shared" si="29"/>
        <v>16</v>
      </c>
      <c r="AJ39" s="169">
        <f t="shared" si="30"/>
        <v>8</v>
      </c>
      <c r="AK39" s="169">
        <f t="shared" si="31"/>
        <v>0</v>
      </c>
      <c r="AL39" s="64">
        <f t="shared" si="32"/>
        <v>8</v>
      </c>
    </row>
    <row r="40" spans="1:38" ht="15.75" x14ac:dyDescent="0.25">
      <c r="A40" s="2">
        <f t="shared" si="23"/>
        <v>46142</v>
      </c>
      <c r="B40" s="2">
        <f t="shared" si="14"/>
        <v>84</v>
      </c>
      <c r="C40" s="54" t="str">
        <f t="shared" si="0"/>
        <v>30.4. czwartek</v>
      </c>
      <c r="D40" s="159"/>
      <c r="E40" s="117" t="str">
        <f t="shared" si="15"/>
        <v xml:space="preserve"> </v>
      </c>
      <c r="F40" s="115">
        <v>8</v>
      </c>
      <c r="G40" s="115">
        <v>16</v>
      </c>
      <c r="H40" s="55">
        <f t="shared" si="1"/>
        <v>8</v>
      </c>
      <c r="I40" s="55">
        <f t="shared" si="2"/>
        <v>0</v>
      </c>
      <c r="J40" s="56">
        <f t="shared" si="3"/>
        <v>0</v>
      </c>
      <c r="K40" s="57">
        <f t="shared" si="33"/>
        <v>1</v>
      </c>
      <c r="L40" s="57">
        <f t="shared" si="16"/>
        <v>0</v>
      </c>
      <c r="M40" s="58" t="str">
        <f t="shared" si="4"/>
        <v>przerwa1</v>
      </c>
      <c r="N40" s="57">
        <f t="shared" si="17"/>
        <v>1</v>
      </c>
      <c r="O40" s="138"/>
      <c r="P40" s="149"/>
      <c r="Q40" s="138"/>
      <c r="R40" s="8"/>
      <c r="S40" s="60">
        <f t="shared" si="5"/>
        <v>0</v>
      </c>
      <c r="T40" s="60" t="str">
        <f t="shared" si="18"/>
        <v xml:space="preserve"> </v>
      </c>
      <c r="U40" s="60" t="str">
        <f t="shared" si="19"/>
        <v xml:space="preserve"> </v>
      </c>
      <c r="W40">
        <f t="shared" si="20"/>
        <v>480</v>
      </c>
      <c r="X40">
        <f t="shared" si="21"/>
        <v>0</v>
      </c>
      <c r="Y40">
        <f t="shared" si="22"/>
        <v>480</v>
      </c>
      <c r="AD40" s="158">
        <f t="shared" si="24"/>
        <v>8</v>
      </c>
      <c r="AE40" s="158">
        <f t="shared" si="25"/>
        <v>0</v>
      </c>
      <c r="AF40" s="64">
        <f t="shared" si="26"/>
        <v>8</v>
      </c>
      <c r="AG40" s="169">
        <f t="shared" si="27"/>
        <v>16</v>
      </c>
      <c r="AH40" s="169">
        <f t="shared" si="28"/>
        <v>0</v>
      </c>
      <c r="AI40" s="64">
        <f t="shared" si="29"/>
        <v>16</v>
      </c>
      <c r="AJ40" s="169">
        <f t="shared" si="30"/>
        <v>8</v>
      </c>
      <c r="AK40" s="169">
        <f t="shared" si="31"/>
        <v>0</v>
      </c>
      <c r="AL40" s="64">
        <f t="shared" si="32"/>
        <v>8</v>
      </c>
    </row>
    <row r="41" spans="1:38" ht="15.75" x14ac:dyDescent="0.25">
      <c r="A41" s="2">
        <f t="shared" si="23"/>
        <v>46143</v>
      </c>
      <c r="B41" s="2">
        <f t="shared" si="14"/>
        <v>84</v>
      </c>
      <c r="C41" s="54"/>
      <c r="D41" s="159"/>
      <c r="E41" s="117"/>
      <c r="F41" s="115"/>
      <c r="G41" s="115"/>
      <c r="H41" s="55"/>
      <c r="I41" s="55"/>
      <c r="J41" s="56" t="str">
        <f>IF(OR((I41=""),(B41=83)),"",IF((I41=0),0,TRUNC(H41-godz)*60+(((TRUNC(H41)*60)+(H41-TRUNC(H41))*100)-(godz*60)-(TRUNC(H41-godz)*60))))</f>
        <v/>
      </c>
      <c r="K41" s="57"/>
      <c r="L41" s="57"/>
      <c r="M41" s="61"/>
      <c r="N41" s="57"/>
      <c r="O41" s="138"/>
      <c r="P41" s="149"/>
      <c r="Q41" s="138"/>
      <c r="R41" s="8"/>
      <c r="S41" s="60" t="str">
        <f t="shared" si="5"/>
        <v xml:space="preserve"> </v>
      </c>
      <c r="T41" s="60" t="str">
        <f t="shared" si="18"/>
        <v xml:space="preserve"> </v>
      </c>
      <c r="U41" s="60" t="str">
        <f t="shared" si="19"/>
        <v xml:space="preserve"> </v>
      </c>
      <c r="W41">
        <f t="shared" si="20"/>
        <v>0</v>
      </c>
      <c r="X41">
        <f t="shared" si="21"/>
        <v>0</v>
      </c>
      <c r="Y41">
        <f t="shared" si="22"/>
        <v>0</v>
      </c>
      <c r="AD41" s="158">
        <f t="shared" si="24"/>
        <v>0</v>
      </c>
      <c r="AE41" s="158">
        <f t="shared" si="25"/>
        <v>0</v>
      </c>
      <c r="AF41" s="64" t="str">
        <f t="shared" si="26"/>
        <v xml:space="preserve"> </v>
      </c>
      <c r="AG41" s="169">
        <f t="shared" si="27"/>
        <v>0</v>
      </c>
      <c r="AH41" s="169">
        <f t="shared" si="28"/>
        <v>0</v>
      </c>
      <c r="AI41" s="64" t="str">
        <f t="shared" si="29"/>
        <v xml:space="preserve"> </v>
      </c>
      <c r="AJ41" s="169" t="str">
        <f t="shared" si="30"/>
        <v/>
      </c>
      <c r="AK41" s="169" t="str">
        <f t="shared" si="31"/>
        <v/>
      </c>
      <c r="AL41" s="64" t="str">
        <f t="shared" si="32"/>
        <v xml:space="preserve"> </v>
      </c>
    </row>
    <row r="42" spans="1:38" ht="15.75" x14ac:dyDescent="0.25">
      <c r="A42" s="1"/>
      <c r="B42" s="1"/>
      <c r="C42" s="62"/>
      <c r="D42" s="116"/>
      <c r="E42" s="117"/>
      <c r="F42" s="116"/>
      <c r="G42" s="116"/>
      <c r="H42" s="55"/>
      <c r="I42" s="59"/>
      <c r="J42" s="56" t="str">
        <f>IF(OR((I42=""),(B42=83)),"",IF((I42=0),0,TRUNC(H42-godz)*60+(((TRUNC(H42)*60)+(H42-TRUNC(H42))*100)-(godz*60)-(TRUNC(H42-godz)*60))))</f>
        <v/>
      </c>
      <c r="K42" s="57">
        <f t="shared" si="33"/>
        <v>1</v>
      </c>
      <c r="L42" s="57">
        <f>IF(OR((D42="c"),(D42="u")),1,0)</f>
        <v>0</v>
      </c>
      <c r="M42" s="63"/>
      <c r="N42" s="57">
        <f>IF(OR((B42=83),(D42="w"),(D42="g"),(D42="c"),(D42="u")),0,1)</f>
        <v>1</v>
      </c>
      <c r="O42" s="64">
        <f>TRUNC(SUM(O11:O41)/60)+((SUM(O11:O41)/60)-(TRUNC(SUM(O11:O41)/60)))*60/100</f>
        <v>0</v>
      </c>
      <c r="P42" t="s">
        <v>132</v>
      </c>
      <c r="Q42" s="8"/>
      <c r="R42" s="8"/>
      <c r="S42" s="65">
        <f>SUM(S11:S41)</f>
        <v>0</v>
      </c>
      <c r="T42" s="66">
        <f>SUM(T11:T41)</f>
        <v>0</v>
      </c>
      <c r="U42" s="66">
        <f>SUM(U11:U41)</f>
        <v>0</v>
      </c>
    </row>
    <row r="43" spans="1:38" x14ac:dyDescent="0.25">
      <c r="A43" s="1"/>
      <c r="B43" s="1"/>
      <c r="C43" s="67"/>
      <c r="D43" s="21"/>
      <c r="E43" s="21"/>
      <c r="F43" s="21"/>
      <c r="G43" s="21"/>
      <c r="H43" s="21"/>
      <c r="I43" s="68"/>
      <c r="J43" s="68"/>
      <c r="K43" s="69"/>
      <c r="L43" s="69"/>
      <c r="M43" s="69"/>
      <c r="N43" s="70"/>
      <c r="O43" s="144"/>
      <c r="P43" s="8"/>
      <c r="Q43" s="8"/>
      <c r="R43" s="8"/>
      <c r="S43" s="71">
        <f>S42/60</f>
        <v>0</v>
      </c>
      <c r="T43" s="66"/>
      <c r="U43" s="8"/>
    </row>
    <row r="44" spans="1:38" x14ac:dyDescent="0.25">
      <c r="A44" s="1"/>
      <c r="B44" s="1"/>
      <c r="C44" s="67" t="s">
        <v>30</v>
      </c>
      <c r="D44" s="21"/>
      <c r="E44" s="72">
        <f>SUM(K11:K41)</f>
        <v>21</v>
      </c>
      <c r="F44" s="21" t="s">
        <v>31</v>
      </c>
      <c r="G44" s="21"/>
      <c r="H44" s="21"/>
      <c r="I44" s="73" t="s">
        <v>32</v>
      </c>
      <c r="J44" s="72">
        <f>SUM(N11:N41)</f>
        <v>21</v>
      </c>
      <c r="K44" s="74" t="s">
        <v>31</v>
      </c>
      <c r="L44" s="74"/>
      <c r="M44" s="74"/>
      <c r="N44" s="30"/>
      <c r="O44" s="141" t="s">
        <v>31</v>
      </c>
      <c r="P44" s="8"/>
      <c r="W44">
        <f>((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60)</f>
        <v>10080</v>
      </c>
      <c r="X44">
        <f>(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-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100)</f>
        <v>0</v>
      </c>
      <c r="Y44">
        <f>((TRUNC(O42)*60)+(O42-TRUNC(O42))*100)</f>
        <v>0</v>
      </c>
      <c r="Z44">
        <f>W44+X44+Y44</f>
        <v>10080</v>
      </c>
      <c r="AA44">
        <f>Z44/60</f>
        <v>168</v>
      </c>
      <c r="AB44">
        <f>TRUNC(AA44)</f>
        <v>168</v>
      </c>
      <c r="AC44">
        <f>(AA44-AB44)*60/100</f>
        <v>0</v>
      </c>
      <c r="AD44">
        <f>AB44+AC44</f>
        <v>168</v>
      </c>
    </row>
    <row r="45" spans="1:38" x14ac:dyDescent="0.25">
      <c r="A45" s="1"/>
      <c r="B45" s="1"/>
      <c r="C45" s="75" t="s">
        <v>33</v>
      </c>
      <c r="D45" s="21"/>
      <c r="E45" s="76">
        <f>ROUND(SUM(K11:K41)*godz,2)</f>
        <v>168</v>
      </c>
      <c r="F45" s="21" t="s">
        <v>34</v>
      </c>
      <c r="G45" s="21"/>
      <c r="H45" s="21"/>
      <c r="I45" s="73" t="s">
        <v>35</v>
      </c>
      <c r="J45" s="76">
        <f>AB44+AC44</f>
        <v>168</v>
      </c>
      <c r="K45" s="74" t="s">
        <v>34</v>
      </c>
      <c r="L45" s="74"/>
      <c r="M45" s="74"/>
      <c r="N45" s="30"/>
      <c r="O45" s="141" t="s">
        <v>34</v>
      </c>
      <c r="P45" s="8"/>
    </row>
    <row r="46" spans="1:38" x14ac:dyDescent="0.25">
      <c r="A46" s="1"/>
      <c r="B46" s="1"/>
      <c r="C46" s="67"/>
      <c r="D46" s="21"/>
      <c r="E46" s="76"/>
      <c r="F46" s="21"/>
      <c r="G46" s="21"/>
      <c r="H46" s="21"/>
      <c r="I46" s="73"/>
      <c r="J46" s="76"/>
      <c r="K46" s="74"/>
      <c r="L46" s="74"/>
      <c r="M46" s="74"/>
      <c r="N46" s="30"/>
      <c r="O46" s="141"/>
      <c r="P46" s="8"/>
    </row>
    <row r="47" spans="1:38" x14ac:dyDescent="0.25">
      <c r="A47" s="1"/>
      <c r="B47" s="1"/>
      <c r="C47" s="67"/>
      <c r="D47" s="21"/>
      <c r="E47" s="76"/>
      <c r="F47" s="21"/>
      <c r="G47" s="21"/>
      <c r="H47" s="21"/>
      <c r="I47" s="73" t="s">
        <v>36</v>
      </c>
      <c r="J47" s="72">
        <f>SUM(L11:L41)</f>
        <v>0</v>
      </c>
      <c r="K47" s="74" t="s">
        <v>37</v>
      </c>
      <c r="L47" s="74"/>
      <c r="M47" s="74"/>
      <c r="N47" s="30"/>
      <c r="O47" s="141" t="s">
        <v>37</v>
      </c>
      <c r="P47" s="8"/>
    </row>
    <row r="48" spans="1:38" x14ac:dyDescent="0.25">
      <c r="A48" s="1"/>
      <c r="B48" s="1"/>
      <c r="C48" s="67"/>
      <c r="D48" s="21"/>
      <c r="E48" s="21"/>
      <c r="F48" s="21"/>
      <c r="G48" s="21"/>
      <c r="H48" s="21"/>
      <c r="I48" s="73" t="s">
        <v>147</v>
      </c>
      <c r="J48" s="162"/>
      <c r="K48" s="78"/>
      <c r="L48" s="78"/>
      <c r="M48" s="78"/>
      <c r="N48" s="79"/>
      <c r="O48" s="141"/>
      <c r="P48" s="8"/>
    </row>
    <row r="49" spans="3:16" x14ac:dyDescent="0.25">
      <c r="C49" s="80" t="s">
        <v>61</v>
      </c>
      <c r="D49" s="21"/>
      <c r="E49" s="76">
        <f>(TRUNC(TRUNC(((TRUNC(J45)*60+((J45-TRUNC(J45))*100))-((E45*60)))/60)+(((((TRUNC(J45)*60+((J45-TRUNC(J45))*100))-((E45*60)))/60)-TRUNC((((TRUNC(J45)*60+((J45-TRUNC(J45))*100))-((E45*60)))/60)))*100/60)))+((TRUNC(((TRUNC(J45)*60+((J45-TRUNC(J45))*100))-((E45*60)))/60)+(((((TRUNC(J45)*60+((J45-TRUNC(J45))*100))-((E45*60)))/60)-TRUNC((((TRUNC(J45)*60+((J45-TRUNC(J45))*100))-((E45*60)))/60)))*100/60))-TRUNC((TRUNC(((TRUNC(J45)*60+((J45-TRUNC(J45))*100))-((E45*60)))/60)+(((((TRUNC(J45)*60+((J45-TRUNC(J45))*100))-((E45*60)))/60)-TRUNC((((TRUNC(J45)*60+((J45-TRUNC(J45))*100))-((E45*60)))/60)))*100/60))))*60/100</f>
        <v>0</v>
      </c>
      <c r="F49" s="21" t="s">
        <v>34</v>
      </c>
      <c r="G49" s="8"/>
      <c r="H49" s="73"/>
      <c r="I49" s="73" t="s">
        <v>148</v>
      </c>
      <c r="J49" s="76">
        <f>TRUNC((((ROUND(J47*godz,2))*60)-(TRUNC(J48)*60+(J48-TRUNC(J48))*100))/60)+((((((ROUND(J47*godz,2))*60)-(TRUNC(J48)*60+(J48-TRUNC(J48))*100))/60)-TRUNC((((ROUND(J47*godz,2))*60)-(TRUNC(J48)*60+(J48-TRUNC(J48))*100))/60))*60/100)</f>
        <v>0</v>
      </c>
      <c r="K49" s="77"/>
      <c r="L49" s="21"/>
      <c r="M49" s="21"/>
      <c r="N49" s="30"/>
      <c r="O49" s="142"/>
      <c r="P49" s="21"/>
    </row>
    <row r="50" spans="3:16" ht="15.75" thickBot="1" x14ac:dyDescent="0.3">
      <c r="C50" s="163" t="s">
        <v>38</v>
      </c>
      <c r="D50" s="164"/>
      <c r="E50" s="165">
        <f>J49</f>
        <v>0</v>
      </c>
      <c r="F50" s="164" t="s">
        <v>34</v>
      </c>
      <c r="G50" s="82"/>
      <c r="H50" s="21"/>
      <c r="I50" s="83"/>
      <c r="J50" s="83"/>
      <c r="K50" s="21"/>
      <c r="L50" s="21"/>
      <c r="M50" s="21"/>
      <c r="N50" s="30"/>
      <c r="O50" s="30"/>
      <c r="P50" s="8"/>
    </row>
    <row r="51" spans="3:16" ht="15.75" thickBot="1" x14ac:dyDescent="0.3">
      <c r="C51" s="166" t="s">
        <v>134</v>
      </c>
      <c r="D51" s="164"/>
      <c r="E51" s="165">
        <f>TRUNC(((TRUNC(J45)*60+(J45-TRUNC(J45))*100)+(TRUNC(J49)*60+(J49-TRUNC(J49))*100))/60)+((((TRUNC(J45)*60+(J45-TRUNC(J45))*100)+(TRUNC(J49)*60+(J49-TRUNC(J49))*100))/60)-TRUNC(((TRUNC(J45)*60+(J45-TRUNC(J45))*100)+(TRUNC(J49)*60+(J49-TRUNC(J49))*100))/60))*60/100</f>
        <v>168</v>
      </c>
      <c r="F51" s="164" t="s">
        <v>34</v>
      </c>
      <c r="G51" s="21"/>
      <c r="H51" s="21"/>
      <c r="I51" s="83" t="s">
        <v>39</v>
      </c>
      <c r="J51" s="84">
        <f>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+(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-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)*60/100)</f>
        <v>0</v>
      </c>
      <c r="K51" s="83" t="s">
        <v>34</v>
      </c>
      <c r="L51" s="83"/>
      <c r="M51" s="85"/>
      <c r="N51" s="30"/>
      <c r="O51" s="143" t="s">
        <v>34</v>
      </c>
      <c r="P51" s="8"/>
    </row>
    <row r="52" spans="3:16" ht="15.75" thickBot="1" x14ac:dyDescent="0.3">
      <c r="C52" s="86"/>
      <c r="D52" s="87"/>
      <c r="E52" s="88" t="s">
        <v>40</v>
      </c>
      <c r="F52" s="89"/>
      <c r="G52" s="87"/>
      <c r="H52" s="87"/>
      <c r="I52" s="88" t="s">
        <v>40</v>
      </c>
      <c r="J52" s="88" t="s">
        <v>41</v>
      </c>
      <c r="K52" s="87"/>
      <c r="L52" s="87"/>
      <c r="M52" s="87"/>
      <c r="N52" s="90"/>
      <c r="O52" s="90"/>
      <c r="P52" s="8"/>
    </row>
    <row r="53" spans="3:16" x14ac:dyDescent="0.25">
      <c r="C53" s="91" t="s">
        <v>52</v>
      </c>
      <c r="D53" s="13"/>
      <c r="E53" s="13"/>
      <c r="F53" s="13"/>
      <c r="G53" s="13"/>
      <c r="H53" s="13"/>
      <c r="I53" s="92"/>
      <c r="J53" s="92"/>
      <c r="K53" s="92"/>
      <c r="L53" s="92"/>
      <c r="M53" s="92"/>
      <c r="N53" s="93"/>
      <c r="O53" s="147"/>
      <c r="P53" s="8"/>
    </row>
    <row r="54" spans="3:16" ht="15.75" customHeight="1" x14ac:dyDescent="0.25">
      <c r="C54" s="118" t="s">
        <v>51</v>
      </c>
      <c r="D54" s="21"/>
      <c r="E54" s="94">
        <f>'März 2026'!J54</f>
        <v>6.56</v>
      </c>
      <c r="F54" s="83" t="s">
        <v>34</v>
      </c>
      <c r="G54" s="21"/>
      <c r="H54" s="21"/>
      <c r="I54" s="95" t="s">
        <v>44</v>
      </c>
      <c r="J54" s="98">
        <f>TRUNC(SUM(((TRUNC(J51)*60)+((J51-TRUNC(J51))*100)),(TRUNC(E54)*60)+((E54-TRUNC(E54))*100))/60)+((SUM(((TRUNC(J51)*60)+((J51-TRUNC(J51))*100)),(TRUNC(E54)*60)+((E54-TRUNC(E54))*100))/60)-TRUNC((SUM(((TRUNC(J51)*60)+((J51-TRUNC(J51))*100)),(TRUNC(E54)*60)+((E54-TRUNC(E54))*100))/60)))*60/100</f>
        <v>6.56</v>
      </c>
      <c r="K54" s="96" t="s">
        <v>34</v>
      </c>
      <c r="L54" s="81"/>
      <c r="M54" s="81"/>
      <c r="N54" s="30"/>
      <c r="O54" s="145" t="s">
        <v>34</v>
      </c>
      <c r="P54" s="8"/>
    </row>
    <row r="55" spans="3:16" ht="15.75" thickBot="1" x14ac:dyDescent="0.3">
      <c r="C55" s="86"/>
      <c r="D55" s="87"/>
      <c r="E55" s="87"/>
      <c r="F55" s="87"/>
      <c r="G55" s="87"/>
      <c r="H55" s="87"/>
      <c r="I55" s="97"/>
      <c r="J55" s="97"/>
      <c r="K55" s="97"/>
      <c r="L55" s="97"/>
      <c r="M55" s="97"/>
      <c r="N55" s="90"/>
      <c r="O55" s="146"/>
      <c r="P55" s="8"/>
    </row>
    <row r="56" spans="3:16" x14ac:dyDescent="0.25">
      <c r="C56" s="10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</row>
    <row r="57" spans="3:16" x14ac:dyDescent="0.25">
      <c r="C57" s="6">
        <f>SUM(K11:K41)</f>
        <v>21</v>
      </c>
    </row>
    <row r="58" spans="3:16" x14ac:dyDescent="0.25">
      <c r="E58" s="161"/>
    </row>
  </sheetData>
  <sheetProtection selectLockedCells="1"/>
  <mergeCells count="3">
    <mergeCell ref="E2:F2"/>
    <mergeCell ref="E3:F3"/>
    <mergeCell ref="E4:F4"/>
  </mergeCells>
  <pageMargins left="0.7" right="0.7" top="0.75" bottom="0.75" header="0.3" footer="0.3"/>
  <pageSetup paperSize="9"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Dane!$A$1:$A$12</xm:f>
          </x14:formula1>
          <xm:sqref>D11:D41</xm:sqref>
        </x14:dataValidation>
        <x14:dataValidation type="list" allowBlank="1" showInputMessage="1" showErrorMessage="1">
          <x14:formula1>
            <xm:f>Dane!$G$2:$G$16</xm:f>
          </x14:formula1>
          <xm:sqref>P11:P41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AL58"/>
  <sheetViews>
    <sheetView topLeftCell="C4" zoomScaleNormal="100" workbookViewId="0">
      <selection activeCell="F24" sqref="F24"/>
    </sheetView>
  </sheetViews>
  <sheetFormatPr defaultColWidth="9.140625" defaultRowHeight="15" x14ac:dyDescent="0.25"/>
  <cols>
    <col min="1" max="1" width="3.42578125" hidden="1" customWidth="1"/>
    <col min="2" max="2" width="3" hidden="1" customWidth="1"/>
    <col min="3" max="3" width="19.85546875" customWidth="1"/>
    <col min="4" max="4" width="3.7109375" customWidth="1"/>
    <col min="5" max="5" width="14.28515625" bestFit="1" customWidth="1"/>
    <col min="8" max="8" width="7.42578125" customWidth="1"/>
    <col min="9" max="9" width="14.42578125" customWidth="1"/>
    <col min="10" max="10" width="10" customWidth="1"/>
    <col min="11" max="11" width="7.7109375" hidden="1" customWidth="1"/>
    <col min="12" max="12" width="8.42578125" hidden="1" customWidth="1"/>
    <col min="13" max="13" width="6.5703125" hidden="1" customWidth="1"/>
    <col min="14" max="14" width="10.42578125" hidden="1" customWidth="1"/>
    <col min="15" max="15" width="14.7109375" customWidth="1"/>
    <col min="17" max="17" width="13.28515625" customWidth="1"/>
    <col min="19" max="19" width="9.140625" hidden="1" customWidth="1"/>
    <col min="20" max="20" width="13.85546875" customWidth="1"/>
    <col min="21" max="21" width="14.85546875" customWidth="1"/>
    <col min="23" max="29" width="9.140625" hidden="1" customWidth="1"/>
    <col min="30" max="31" width="4.5703125" hidden="1" customWidth="1"/>
    <col min="32" max="32" width="19.140625" customWidth="1"/>
    <col min="33" max="33" width="6.140625" hidden="1" customWidth="1"/>
    <col min="34" max="34" width="5.85546875" hidden="1" customWidth="1"/>
    <col min="35" max="35" width="19.7109375" customWidth="1"/>
    <col min="36" max="36" width="5.5703125" hidden="1" customWidth="1"/>
    <col min="37" max="37" width="5.28515625" hidden="1" customWidth="1"/>
    <col min="38" max="38" width="16" customWidth="1"/>
  </cols>
  <sheetData>
    <row r="1" spans="1:38" ht="18.75" thickBot="1" x14ac:dyDescent="0.3">
      <c r="A1" s="5" t="s">
        <v>48</v>
      </c>
      <c r="B1" s="1"/>
      <c r="C1" s="103" t="s">
        <v>0</v>
      </c>
      <c r="D1" s="104">
        <v>5</v>
      </c>
      <c r="E1" s="102"/>
      <c r="F1" s="102"/>
      <c r="G1" s="103" t="s">
        <v>1</v>
      </c>
      <c r="H1" s="105" t="str">
        <f>'Januar 2026'!rok</f>
        <v>2026</v>
      </c>
      <c r="I1" s="106" t="s">
        <v>2</v>
      </c>
      <c r="J1" s="107">
        <v>8</v>
      </c>
      <c r="K1" s="108"/>
      <c r="L1" s="109"/>
      <c r="M1" s="109"/>
      <c r="N1" s="110"/>
      <c r="O1" s="8"/>
      <c r="P1" s="8"/>
      <c r="Q1" s="9" t="str">
        <f>Dane!A2</f>
        <v>w</v>
      </c>
      <c r="R1" s="10" t="str">
        <f>Dane!B2</f>
        <v>dzień wolny ustawowo</v>
      </c>
      <c r="S1" s="8"/>
      <c r="T1" s="8"/>
      <c r="U1" s="123" t="str">
        <f>Dane!A9</f>
        <v>oc</v>
      </c>
      <c r="V1" s="8" t="str">
        <f>Dane!B9</f>
        <v>opieka nad chorym dzieckiem</v>
      </c>
    </row>
    <row r="2" spans="1:38" x14ac:dyDescent="0.25">
      <c r="A2" s="2"/>
      <c r="B2" s="1"/>
      <c r="C2" s="11"/>
      <c r="D2" s="11" t="s">
        <v>4</v>
      </c>
      <c r="E2" s="175"/>
      <c r="F2" s="176"/>
      <c r="G2" s="16"/>
      <c r="H2" s="17"/>
      <c r="I2" s="28" t="s">
        <v>5</v>
      </c>
      <c r="J2" s="101">
        <v>40</v>
      </c>
      <c r="K2" s="12" t="s">
        <v>6</v>
      </c>
      <c r="L2" s="13"/>
      <c r="M2" s="13"/>
      <c r="N2" s="14"/>
      <c r="O2" s="12" t="s">
        <v>6</v>
      </c>
      <c r="P2" s="8"/>
      <c r="Q2" s="9" t="str">
        <f>Dane!A3</f>
        <v>u</v>
      </c>
      <c r="R2" s="10" t="str">
        <f>Dane!B3</f>
        <v>urlop</v>
      </c>
      <c r="S2" s="8"/>
      <c r="T2" s="8"/>
      <c r="U2" s="122" t="str">
        <f>Dane!A10</f>
        <v>um</v>
      </c>
      <c r="V2" s="8" t="str">
        <f>Dane!B10</f>
        <v>urlop macierzyński</v>
      </c>
    </row>
    <row r="3" spans="1:38" x14ac:dyDescent="0.25">
      <c r="A3" s="1"/>
      <c r="B3" s="1"/>
      <c r="C3" s="15"/>
      <c r="D3" s="15" t="s">
        <v>46</v>
      </c>
      <c r="E3" s="175"/>
      <c r="F3" s="176"/>
      <c r="G3" s="16"/>
      <c r="H3" s="17"/>
      <c r="I3" s="18"/>
      <c r="J3" s="19"/>
      <c r="K3" s="20"/>
      <c r="L3" s="21"/>
      <c r="M3" s="21"/>
      <c r="N3" s="22"/>
      <c r="O3" s="20"/>
      <c r="P3" s="8"/>
      <c r="Q3" s="9" t="str">
        <f>Dane!A4</f>
        <v>c</v>
      </c>
      <c r="R3" s="10" t="str">
        <f>Dane!B4</f>
        <v>choroba</v>
      </c>
      <c r="S3" s="8"/>
      <c r="T3" s="8"/>
      <c r="U3" s="122" t="str">
        <f>Dane!A11</f>
        <v>uz</v>
      </c>
      <c r="V3" s="8" t="str">
        <f>Dane!B11</f>
        <v>urlop zaplanowany</v>
      </c>
    </row>
    <row r="4" spans="1:38" ht="15.75" thickBot="1" x14ac:dyDescent="0.3">
      <c r="A4" s="3"/>
      <c r="B4" s="1"/>
      <c r="C4" s="15"/>
      <c r="D4" s="23" t="s">
        <v>11</v>
      </c>
      <c r="E4" s="175"/>
      <c r="F4" s="176"/>
      <c r="G4" s="16"/>
      <c r="H4" s="17"/>
      <c r="I4" s="18"/>
      <c r="J4" s="19"/>
      <c r="K4" s="20"/>
      <c r="L4" s="21"/>
      <c r="M4" s="21"/>
      <c r="N4" s="22"/>
      <c r="O4" s="20"/>
      <c r="P4" s="8"/>
      <c r="Q4" s="9" t="str">
        <f>Dane!A5</f>
        <v>g</v>
      </c>
      <c r="R4" s="10" t="str">
        <f>Dane!B5</f>
        <v xml:space="preserve">godz.(rządanie pracownika) </v>
      </c>
      <c r="S4" s="8"/>
      <c r="T4" s="8"/>
      <c r="U4" s="122" t="str">
        <f>Dane!A12</f>
        <v>gp</v>
      </c>
      <c r="V4" t="str">
        <f>Dane!B12</f>
        <v xml:space="preserve">godz.(rządanie pracodawcy) </v>
      </c>
    </row>
    <row r="5" spans="1:38" x14ac:dyDescent="0.25">
      <c r="A5" s="3"/>
      <c r="B5" s="1"/>
      <c r="C5" s="15"/>
      <c r="D5" s="24"/>
      <c r="E5" s="25"/>
      <c r="F5" s="26"/>
      <c r="G5" s="27"/>
      <c r="H5" s="17"/>
      <c r="I5" s="28" t="s">
        <v>12</v>
      </c>
      <c r="J5" s="111">
        <v>0</v>
      </c>
      <c r="K5" s="29" t="s">
        <v>13</v>
      </c>
      <c r="L5" s="21"/>
      <c r="M5" s="21"/>
      <c r="N5" s="30"/>
      <c r="O5" s="29" t="s">
        <v>13</v>
      </c>
      <c r="P5" s="8"/>
      <c r="Q5" s="9" t="str">
        <f>Dane!A6</f>
        <v>s</v>
      </c>
      <c r="R5" s="10" t="str">
        <f>Dane!B6</f>
        <v>urlop specjalny/okolicznościow</v>
      </c>
      <c r="S5" s="8"/>
      <c r="T5" s="8"/>
      <c r="U5" s="9"/>
    </row>
    <row r="6" spans="1:38" x14ac:dyDescent="0.25">
      <c r="A6" s="3"/>
      <c r="B6" s="1"/>
      <c r="C6" s="15"/>
      <c r="D6" s="23"/>
      <c r="E6" s="31"/>
      <c r="F6" s="32"/>
      <c r="G6" s="33"/>
      <c r="H6" s="17"/>
      <c r="I6" s="21"/>
      <c r="J6" s="112">
        <v>0</v>
      </c>
      <c r="K6" s="29" t="s">
        <v>16</v>
      </c>
      <c r="L6" s="21"/>
      <c r="M6" s="21"/>
      <c r="N6" s="30"/>
      <c r="O6" s="29" t="s">
        <v>16</v>
      </c>
      <c r="P6" s="8"/>
      <c r="Q6" s="9" t="str">
        <f>Dane!A7</f>
        <v>a</v>
      </c>
      <c r="R6" s="10" t="str">
        <f>Dane!B7</f>
        <v>nieobecny</v>
      </c>
      <c r="S6" s="8"/>
      <c r="T6" s="8"/>
      <c r="U6" s="8"/>
      <c r="AF6" s="170"/>
    </row>
    <row r="7" spans="1:38" ht="15.75" thickBot="1" x14ac:dyDescent="0.3">
      <c r="A7" s="1"/>
      <c r="B7" s="1"/>
      <c r="C7" s="34"/>
      <c r="D7" s="35"/>
      <c r="E7" s="35"/>
      <c r="F7" s="35"/>
      <c r="G7" s="35"/>
      <c r="H7" s="17"/>
      <c r="I7" s="28" t="s">
        <v>17</v>
      </c>
      <c r="J7" s="113">
        <v>8</v>
      </c>
      <c r="K7" s="20" t="s">
        <v>18</v>
      </c>
      <c r="L7" s="21"/>
      <c r="M7" s="21"/>
      <c r="N7" s="30"/>
      <c r="O7" s="20" t="s">
        <v>18</v>
      </c>
      <c r="P7" s="8"/>
      <c r="Q7" s="9" t="str">
        <f>Dane!A8</f>
        <v>op</v>
      </c>
      <c r="R7" s="10" t="str">
        <f>Dane!B8</f>
        <v>opieka nad zdrowym dzieckiem</v>
      </c>
      <c r="S7" s="8"/>
      <c r="T7" s="8"/>
      <c r="U7" s="8"/>
      <c r="AF7" s="170"/>
    </row>
    <row r="8" spans="1:38" ht="23.25" x14ac:dyDescent="0.35">
      <c r="A8" s="2"/>
      <c r="B8" s="2"/>
      <c r="C8" s="99" t="s">
        <v>45</v>
      </c>
      <c r="D8" s="7"/>
      <c r="E8" s="7"/>
      <c r="F8" s="100" t="str">
        <f>TEXT(DATE(H1,D1,1),"MMMM rrrr")</f>
        <v>maj 2026</v>
      </c>
      <c r="G8" s="36"/>
      <c r="H8" s="37"/>
      <c r="I8" s="38"/>
      <c r="J8" s="39"/>
      <c r="K8" s="39"/>
      <c r="L8" s="39"/>
      <c r="M8" s="39"/>
      <c r="N8" s="40"/>
      <c r="O8" s="41"/>
      <c r="P8" s="42"/>
      <c r="Q8" s="41"/>
      <c r="R8" s="42"/>
      <c r="S8" s="41"/>
      <c r="T8" s="41"/>
      <c r="U8" s="42"/>
      <c r="AF8" s="170"/>
    </row>
    <row r="9" spans="1:38" ht="15.75" thickBot="1" x14ac:dyDescent="0.3">
      <c r="A9" s="2"/>
      <c r="B9" s="2"/>
      <c r="C9" s="43"/>
      <c r="D9" s="44" t="s">
        <v>21</v>
      </c>
      <c r="E9" s="45" t="str">
        <f>TEXT(F9,"DDDD ")</f>
        <v xml:space="preserve">piątek </v>
      </c>
      <c r="F9" s="45">
        <f>DATE(H1,D1,1)</f>
        <v>46143</v>
      </c>
      <c r="G9" s="44" t="s">
        <v>22</v>
      </c>
      <c r="H9" s="46" t="str">
        <f>TEXT(I9,"DDDD ")</f>
        <v xml:space="preserve">niedziela </v>
      </c>
      <c r="I9" s="45">
        <f>DATE(YEAR(F9),MONTH(F9+31),DAY(F9))-1</f>
        <v>46173</v>
      </c>
      <c r="J9" s="47"/>
      <c r="K9" s="47"/>
      <c r="L9" s="47"/>
      <c r="M9" s="47"/>
      <c r="N9" s="30"/>
      <c r="O9" s="48"/>
      <c r="P9" s="49"/>
      <c r="Q9" s="48"/>
      <c r="R9" s="49"/>
      <c r="S9" s="48"/>
      <c r="T9" s="48"/>
      <c r="U9" s="49"/>
      <c r="AF9" s="170"/>
    </row>
    <row r="10" spans="1:38" ht="52.5" thickBot="1" x14ac:dyDescent="0.3">
      <c r="A10" s="4"/>
      <c r="B10" s="4"/>
      <c r="C10" s="50" t="s">
        <v>23</v>
      </c>
      <c r="D10" s="51"/>
      <c r="E10" s="51" t="s">
        <v>24</v>
      </c>
      <c r="F10" s="51" t="s">
        <v>25</v>
      </c>
      <c r="G10" s="51" t="s">
        <v>26</v>
      </c>
      <c r="H10" s="51" t="s">
        <v>27</v>
      </c>
      <c r="I10" s="51" t="s">
        <v>137</v>
      </c>
      <c r="J10" s="51" t="s">
        <v>28</v>
      </c>
      <c r="K10" s="51"/>
      <c r="L10" s="51" t="s">
        <v>100</v>
      </c>
      <c r="M10" s="51"/>
      <c r="N10" s="52"/>
      <c r="O10" s="51" t="s">
        <v>29</v>
      </c>
      <c r="P10" s="51" t="s">
        <v>105</v>
      </c>
      <c r="Q10" s="136" t="s">
        <v>101</v>
      </c>
      <c r="R10" s="53"/>
      <c r="S10" s="51"/>
      <c r="T10" s="114" t="s">
        <v>49</v>
      </c>
      <c r="U10" s="114" t="s">
        <v>50</v>
      </c>
      <c r="W10" t="s">
        <v>138</v>
      </c>
      <c r="X10" t="s">
        <v>139</v>
      </c>
      <c r="Y10" t="s">
        <v>140</v>
      </c>
      <c r="AF10" s="171" t="s">
        <v>152</v>
      </c>
      <c r="AG10" s="172"/>
      <c r="AH10" s="172"/>
      <c r="AI10" s="172" t="s">
        <v>153</v>
      </c>
      <c r="AJ10" s="172"/>
      <c r="AK10" s="172"/>
      <c r="AL10" s="172" t="s">
        <v>154</v>
      </c>
    </row>
    <row r="11" spans="1:38" ht="15.75" x14ac:dyDescent="0.25">
      <c r="A11" s="156">
        <f>DATE(H1,D1,1)</f>
        <v>46143</v>
      </c>
      <c r="B11" s="2">
        <f>CODE(TEXT(A11,"TTTT"))</f>
        <v>84</v>
      </c>
      <c r="C11" s="54" t="str">
        <f t="shared" ref="C11:C41" si="0">TEXT(A11,"DD.M. DDDD")</f>
        <v>01.5. piątek</v>
      </c>
      <c r="D11" s="159" t="s">
        <v>47</v>
      </c>
      <c r="E11" s="117" t="str">
        <f>IF(D11="w","wolne",IF(D11="u","urlop",IF(D11="c","choroba",IF(D11="g","godziny",IF(D11="a","nieobecny",IF(D11="op","opieka"," "))))))</f>
        <v>wolne</v>
      </c>
      <c r="F11" s="115"/>
      <c r="G11" s="115"/>
      <c r="H11" s="55" t="str">
        <f t="shared" ref="H11:H41" si="1">IF(D11="d",(((((TRUNC(G11)-1)-TRUNC(F11))*60)+((G11-TRUNC(G11))*100)+(60-(F11-TRUNC(F11))*100))-(IF(M11&lt;przerwa1,pause,przerwa1)))/60,IF((OR((B11=83),(D11="u"),(D11="uz"),(D11="a"),(D11="c"),(D11="s"),(AND(D11="w",F11="")),(D11="oc"),(D11="um"),(D11="op"),(D11="oc"))),"",IF(OR(D11="g",AND(D11="gp",F11="")),0,TRUNC((((TRUNC(G11)*60+(G11-(TRUNC(G11)))*100)-(TRUNC(F11)*60+(F11-TRUNC(F11))*100))-(IF(M11&lt;przerwa1,pause,przerwa1)))/60)+(((((TRUNC(G11)*60+(G11-(TRUNC(G11)))*100)-(TRUNC(F11)*60+(F11-TRUNC(F11))*100))-(IF(M11&lt;przerwa1,pause,przerwa1)))/60)-TRUNC(((((TRUNC(G11)*60+(G11-(TRUNC(G11)))*100)-(TRUNC(F11)*60+(F11-TRUNC(F11))*100))-(IF(M11&lt;przerwa1,pause,przerwa1)))/60)))*60/100)))</f>
        <v/>
      </c>
      <c r="I11" s="55" t="str">
        <f t="shared" ref="I11:I41" si="2">IF(AND(D11="gp",F11=""),-(TRUNC(godz/1.5)+((godz/1.5)-TRUNC(godz/1.5))*60/100),IF(AND(D11="gp",F11&lt;&gt;"",G11&lt;&gt;""),ROUND(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+(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-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)*60/100,2),IF(OR((B11=83),(D11="w"),(D11="s"),(D11="c"),(D11="a"),(D11="oc"),(D11="um"),(D11="op"),(D11="uz"),(D11="u")),"",ROUND((TRUNC(H11-godz)+(((TRUNC(H11)*60)+(H11-TRUNC(H11))*100)-(godz*60)-(TRUNC(H11-godz)*60))/100),2))))</f>
        <v/>
      </c>
      <c r="J11" s="56" t="str">
        <f t="shared" ref="J11:J41" si="3">IF(D11="gp",(TRUNC(I11)*60+(I11-TRUNC(I11))*100),IF(OR((I11=""),(B11=83)),"",IF((I11=0),0,TRUNC(H11-godz)*60+(((TRUNC(H11)*60)+(H11-TRUNC(H11))*100)-(godz*60)-(TRUNC(H11-godz)*60)))))</f>
        <v/>
      </c>
      <c r="K11" s="57">
        <f>IF(OR((B11=83),(D11="w")),0,1)</f>
        <v>0</v>
      </c>
      <c r="L11" s="57">
        <f>IF(OR((D11="c"),(D11="u"),(D11="uz"),(D11="um"),(D11="op"),(D11="oc"),(D11="s")),1,0)</f>
        <v>0</v>
      </c>
      <c r="M11" s="58" t="str">
        <f t="shared" ref="M11:M41" si="4">IF(((((((TRUNC(G11)-1)-TRUNC(F11))*60)+((G11-TRUNC(G11))*100)+(60-(F11-TRUNC(F11))*100)))/100)&lt;pause2,"przerwa1","pause")</f>
        <v>przerwa1</v>
      </c>
      <c r="N11" s="57">
        <f>IF(OR((B11=83),(D11="w"),(D11="g"),(D11="c"),(D11="u"),(D11="uz"),(D11="op"),(D11="oc")),0,1)</f>
        <v>0</v>
      </c>
      <c r="O11" s="137"/>
      <c r="P11" s="149"/>
      <c r="Q11" s="137"/>
      <c r="R11" s="8"/>
      <c r="S11" s="60" t="str">
        <f t="shared" ref="S11:S41" si="5">IF(H11&lt;&gt;"",IF(D11="w",((TRUNC(H11)*60)+(H11-TRUNC(H11))*100),((TRUNC(H11)*60+(H11-TRUNC(H11))*100)-pause2*60-O11))," ")</f>
        <v xml:space="preserve"> </v>
      </c>
      <c r="T11" s="60" t="str">
        <f>IF(S11&gt;0,S11," ")</f>
        <v xml:space="preserve"> </v>
      </c>
      <c r="U11" s="60" t="str">
        <f>IF(S11&lt;0,S11," ")</f>
        <v xml:space="preserve"> </v>
      </c>
      <c r="W11">
        <f>IF(H11="",0,TRUNC(H11)*60)</f>
        <v>0</v>
      </c>
      <c r="X11">
        <f>IF(H11="",0,ROUND((H11-TRUNC(H11))*100,0)-O11)</f>
        <v>0</v>
      </c>
      <c r="Y11">
        <f>IF(D11="gp",(TRUNC(I11)*60+(I11-TRUNC(I11))*100),(IF(D11="g",(TRUNC(I11)*60+(I11-TRUNC(I11))*100),W11+X11)))</f>
        <v>0</v>
      </c>
      <c r="AD11" s="158">
        <f t="shared" ref="AD11:AD41" si="6">TRUNC(F12)</f>
        <v>0</v>
      </c>
      <c r="AE11" s="158">
        <f t="shared" ref="AE11:AE41" si="7">F12-TRUNC(F12)</f>
        <v>0</v>
      </c>
      <c r="AF11" s="64" t="str">
        <f t="shared" ref="AF11:AF41" si="8">IF(F12&lt;&gt;0,AD11+(AE11/0.6)," ")</f>
        <v xml:space="preserve"> </v>
      </c>
      <c r="AG11" s="169">
        <f t="shared" ref="AG11:AG41" si="9">TRUNC(G12)</f>
        <v>0</v>
      </c>
      <c r="AH11" s="169">
        <f t="shared" ref="AH11:AH41" si="10">G12-TRUNC(G12)</f>
        <v>0</v>
      </c>
      <c r="AI11" s="64" t="str">
        <f t="shared" ref="AI11:AI41" si="11">IF(G12&lt;&gt;0,AG11+(AH11/0.6)," ")</f>
        <v xml:space="preserve"> </v>
      </c>
      <c r="AJ11" s="169" t="str">
        <f t="shared" ref="AJ11:AJ41" si="12">IF(H12&lt;&gt;"",TRUNC(H12),"")</f>
        <v/>
      </c>
      <c r="AK11" s="169" t="str">
        <f t="shared" ref="AK11:AK41" si="13">IF(H12&lt;&gt;"",H12-AJ11,"")</f>
        <v/>
      </c>
      <c r="AL11" s="64" t="str">
        <f t="shared" ref="AL11:AL41" si="14">IF(H12&lt;&gt;"",AJ11+(AK11/0.6)," ")</f>
        <v xml:space="preserve"> </v>
      </c>
    </row>
    <row r="12" spans="1:38" ht="15.75" x14ac:dyDescent="0.25">
      <c r="A12" s="156">
        <f>(A11+1)</f>
        <v>46144</v>
      </c>
      <c r="B12" s="2">
        <f t="shared" ref="B12:B41" si="15">CODE(TEXT(A12,"TTTT"))</f>
        <v>84</v>
      </c>
      <c r="C12" s="54" t="str">
        <f t="shared" si="0"/>
        <v>02.5. sobota</v>
      </c>
      <c r="D12" s="159" t="s">
        <v>47</v>
      </c>
      <c r="E12" s="117" t="str">
        <f t="shared" ref="E12:E41" si="16">IF(D12="w","wolne",IF(D12="u","urlop",IF(D12="c","choroba",IF(D12="g","godziny",IF(D12="a","nieobecny",IF(D12="op","opieka"," "))))))</f>
        <v>wolne</v>
      </c>
      <c r="F12" s="115"/>
      <c r="G12" s="115"/>
      <c r="H12" s="55" t="str">
        <f t="shared" si="1"/>
        <v/>
      </c>
      <c r="I12" s="55" t="str">
        <f t="shared" si="2"/>
        <v/>
      </c>
      <c r="J12" s="56" t="str">
        <f t="shared" si="3"/>
        <v/>
      </c>
      <c r="K12" s="57">
        <f>IF(OR((B12=83),(D12="w")),0,1)</f>
        <v>0</v>
      </c>
      <c r="L12" s="57">
        <f t="shared" ref="L12:L41" si="17">IF(OR((D12="c"),(D12="u"),(D12="uz"),(D12="um"),(D12="op"),(D12="oc"),(D12="s")),1,0)</f>
        <v>0</v>
      </c>
      <c r="M12" s="58" t="str">
        <f t="shared" si="4"/>
        <v>przerwa1</v>
      </c>
      <c r="N12" s="57">
        <f t="shared" ref="N12:N41" si="18">IF(OR((B12=83),(D12="w"),(D12="g"),(D12="c"),(D12="u"),(D12="uz"),(D12="op"),(D12="oc")),0,1)</f>
        <v>0</v>
      </c>
      <c r="O12" s="138"/>
      <c r="P12" s="149"/>
      <c r="Q12" s="138"/>
      <c r="R12" s="8"/>
      <c r="S12" s="60" t="str">
        <f t="shared" si="5"/>
        <v xml:space="preserve"> </v>
      </c>
      <c r="T12" s="60" t="str">
        <f t="shared" ref="T12:T41" si="19">IF(S12&gt;0,S12," ")</f>
        <v xml:space="preserve"> </v>
      </c>
      <c r="U12" s="60" t="str">
        <f t="shared" ref="U12:U41" si="20">IF(S12&lt;0,S12," ")</f>
        <v xml:space="preserve"> </v>
      </c>
      <c r="W12">
        <f t="shared" ref="W12:W41" si="21">IF(H12="",0,TRUNC(H12)*60)</f>
        <v>0</v>
      </c>
      <c r="X12">
        <f t="shared" ref="X12:X41" si="22">IF(H12="",0,ROUND((H12-TRUNC(H12))*100,0)-O12)</f>
        <v>0</v>
      </c>
      <c r="Y12">
        <f t="shared" ref="Y12:Y41" si="23">IF(D12="gp",(TRUNC(I12)*60+(I12-TRUNC(I12))*100),(IF(D12="g",(TRUNC(I12)*60+(I12-TRUNC(I12))*100),W12+X12)))</f>
        <v>0</v>
      </c>
      <c r="AD12" s="158">
        <f t="shared" si="6"/>
        <v>0</v>
      </c>
      <c r="AE12" s="158">
        <f t="shared" si="7"/>
        <v>0</v>
      </c>
      <c r="AF12" s="64" t="str">
        <f t="shared" si="8"/>
        <v xml:space="preserve"> </v>
      </c>
      <c r="AG12" s="169">
        <f t="shared" si="9"/>
        <v>0</v>
      </c>
      <c r="AH12" s="169">
        <f t="shared" si="10"/>
        <v>0</v>
      </c>
      <c r="AI12" s="64" t="str">
        <f t="shared" si="11"/>
        <v xml:space="preserve"> </v>
      </c>
      <c r="AJ12" s="169" t="str">
        <f t="shared" si="12"/>
        <v/>
      </c>
      <c r="AK12" s="169" t="str">
        <f t="shared" si="13"/>
        <v/>
      </c>
      <c r="AL12" s="64" t="str">
        <f t="shared" si="14"/>
        <v xml:space="preserve"> </v>
      </c>
    </row>
    <row r="13" spans="1:38" ht="15.75" x14ac:dyDescent="0.25">
      <c r="A13" s="156">
        <f t="shared" ref="A13:A41" si="24">(A12+1)</f>
        <v>46145</v>
      </c>
      <c r="B13" s="2">
        <f t="shared" si="15"/>
        <v>84</v>
      </c>
      <c r="C13" s="54" t="str">
        <f t="shared" si="0"/>
        <v>03.5. niedziela</v>
      </c>
      <c r="D13" s="159" t="s">
        <v>47</v>
      </c>
      <c r="E13" s="117" t="str">
        <f t="shared" si="16"/>
        <v>wolne</v>
      </c>
      <c r="F13" s="115"/>
      <c r="G13" s="115"/>
      <c r="H13" s="55" t="str">
        <f t="shared" si="1"/>
        <v/>
      </c>
      <c r="I13" s="55" t="str">
        <f t="shared" si="2"/>
        <v/>
      </c>
      <c r="J13" s="56" t="str">
        <f t="shared" si="3"/>
        <v/>
      </c>
      <c r="K13" s="57">
        <f>IF(OR((B13=83),(D13="w")),0,1)</f>
        <v>0</v>
      </c>
      <c r="L13" s="57">
        <f t="shared" si="17"/>
        <v>0</v>
      </c>
      <c r="M13" s="58" t="str">
        <f t="shared" si="4"/>
        <v>przerwa1</v>
      </c>
      <c r="N13" s="57">
        <f t="shared" si="18"/>
        <v>0</v>
      </c>
      <c r="O13" s="138"/>
      <c r="P13" s="149"/>
      <c r="Q13" s="138"/>
      <c r="R13" s="8"/>
      <c r="S13" s="60" t="str">
        <f t="shared" si="5"/>
        <v xml:space="preserve"> </v>
      </c>
      <c r="T13" s="60" t="str">
        <f t="shared" si="19"/>
        <v xml:space="preserve"> </v>
      </c>
      <c r="U13" s="60" t="str">
        <f t="shared" si="20"/>
        <v xml:space="preserve"> </v>
      </c>
      <c r="W13">
        <f t="shared" si="21"/>
        <v>0</v>
      </c>
      <c r="X13">
        <f t="shared" si="22"/>
        <v>0</v>
      </c>
      <c r="Y13">
        <f t="shared" si="23"/>
        <v>0</v>
      </c>
      <c r="AD13" s="158">
        <f t="shared" si="6"/>
        <v>8</v>
      </c>
      <c r="AE13" s="158">
        <f t="shared" si="7"/>
        <v>0</v>
      </c>
      <c r="AF13" s="64">
        <f t="shared" si="8"/>
        <v>8</v>
      </c>
      <c r="AG13" s="169">
        <f t="shared" si="9"/>
        <v>16</v>
      </c>
      <c r="AH13" s="169">
        <f t="shared" si="10"/>
        <v>0</v>
      </c>
      <c r="AI13" s="64">
        <f t="shared" si="11"/>
        <v>16</v>
      </c>
      <c r="AJ13" s="169">
        <f t="shared" si="12"/>
        <v>8</v>
      </c>
      <c r="AK13" s="169">
        <f t="shared" si="13"/>
        <v>0</v>
      </c>
      <c r="AL13" s="64">
        <f t="shared" si="14"/>
        <v>8</v>
      </c>
    </row>
    <row r="14" spans="1:38" ht="15.75" x14ac:dyDescent="0.25">
      <c r="A14" s="156">
        <f t="shared" si="24"/>
        <v>46146</v>
      </c>
      <c r="B14" s="2">
        <f t="shared" si="15"/>
        <v>84</v>
      </c>
      <c r="C14" s="54" t="str">
        <f t="shared" si="0"/>
        <v>04.5. poniedziałek</v>
      </c>
      <c r="D14" s="159"/>
      <c r="E14" s="117" t="str">
        <f t="shared" si="16"/>
        <v xml:space="preserve"> </v>
      </c>
      <c r="F14" s="115">
        <v>8</v>
      </c>
      <c r="G14" s="115">
        <v>16</v>
      </c>
      <c r="H14" s="55">
        <f t="shared" si="1"/>
        <v>8</v>
      </c>
      <c r="I14" s="55">
        <f t="shared" si="2"/>
        <v>0</v>
      </c>
      <c r="J14" s="56">
        <f t="shared" si="3"/>
        <v>0</v>
      </c>
      <c r="K14" s="57">
        <f>IF(OR((B14=83),(D14="w")),0,1)</f>
        <v>1</v>
      </c>
      <c r="L14" s="57">
        <f t="shared" si="17"/>
        <v>0</v>
      </c>
      <c r="M14" s="58" t="str">
        <f t="shared" si="4"/>
        <v>przerwa1</v>
      </c>
      <c r="N14" s="57">
        <f t="shared" si="18"/>
        <v>1</v>
      </c>
      <c r="O14" s="138"/>
      <c r="P14" s="149"/>
      <c r="Q14" s="138"/>
      <c r="R14" s="8"/>
      <c r="S14" s="60">
        <f t="shared" si="5"/>
        <v>0</v>
      </c>
      <c r="T14" s="60" t="str">
        <f t="shared" si="19"/>
        <v xml:space="preserve"> </v>
      </c>
      <c r="U14" s="60" t="str">
        <f t="shared" si="20"/>
        <v xml:space="preserve"> </v>
      </c>
      <c r="W14">
        <f t="shared" si="21"/>
        <v>480</v>
      </c>
      <c r="X14">
        <f t="shared" si="22"/>
        <v>0</v>
      </c>
      <c r="Y14">
        <f t="shared" si="23"/>
        <v>480</v>
      </c>
      <c r="AD14" s="158">
        <f t="shared" si="6"/>
        <v>8</v>
      </c>
      <c r="AE14" s="158">
        <f t="shared" si="7"/>
        <v>0</v>
      </c>
      <c r="AF14" s="64">
        <f t="shared" si="8"/>
        <v>8</v>
      </c>
      <c r="AG14" s="169">
        <f t="shared" si="9"/>
        <v>16</v>
      </c>
      <c r="AH14" s="169">
        <f t="shared" si="10"/>
        <v>0</v>
      </c>
      <c r="AI14" s="64">
        <f t="shared" si="11"/>
        <v>16</v>
      </c>
      <c r="AJ14" s="169">
        <f t="shared" si="12"/>
        <v>8</v>
      </c>
      <c r="AK14" s="169">
        <f t="shared" si="13"/>
        <v>0</v>
      </c>
      <c r="AL14" s="64">
        <f t="shared" si="14"/>
        <v>8</v>
      </c>
    </row>
    <row r="15" spans="1:38" ht="15.75" x14ac:dyDescent="0.25">
      <c r="A15" s="156">
        <f t="shared" si="24"/>
        <v>46147</v>
      </c>
      <c r="B15" s="2">
        <f t="shared" si="15"/>
        <v>84</v>
      </c>
      <c r="C15" s="54" t="str">
        <f t="shared" si="0"/>
        <v>05.5. wtorek</v>
      </c>
      <c r="D15" s="159"/>
      <c r="E15" s="117" t="str">
        <f t="shared" si="16"/>
        <v xml:space="preserve"> </v>
      </c>
      <c r="F15" s="115">
        <v>8</v>
      </c>
      <c r="G15" s="115">
        <v>16</v>
      </c>
      <c r="H15" s="55">
        <f t="shared" si="1"/>
        <v>8</v>
      </c>
      <c r="I15" s="55">
        <f t="shared" si="2"/>
        <v>0</v>
      </c>
      <c r="J15" s="56">
        <f t="shared" si="3"/>
        <v>0</v>
      </c>
      <c r="K15" s="57">
        <f t="shared" ref="K15:K42" si="25">IF(OR((B15=83),(D15="w")),0,1)</f>
        <v>1</v>
      </c>
      <c r="L15" s="57">
        <f t="shared" si="17"/>
        <v>0</v>
      </c>
      <c r="M15" s="58" t="str">
        <f t="shared" si="4"/>
        <v>przerwa1</v>
      </c>
      <c r="N15" s="57">
        <f t="shared" si="18"/>
        <v>1</v>
      </c>
      <c r="O15" s="138"/>
      <c r="P15" s="149"/>
      <c r="Q15" s="138"/>
      <c r="R15" s="8"/>
      <c r="S15" s="60">
        <f t="shared" si="5"/>
        <v>0</v>
      </c>
      <c r="T15" s="60" t="str">
        <f t="shared" si="19"/>
        <v xml:space="preserve"> </v>
      </c>
      <c r="U15" s="60" t="str">
        <f t="shared" si="20"/>
        <v xml:space="preserve"> </v>
      </c>
      <c r="W15">
        <f t="shared" si="21"/>
        <v>480</v>
      </c>
      <c r="X15">
        <f t="shared" si="22"/>
        <v>0</v>
      </c>
      <c r="Y15">
        <f t="shared" si="23"/>
        <v>480</v>
      </c>
      <c r="AD15" s="158">
        <f t="shared" si="6"/>
        <v>8</v>
      </c>
      <c r="AE15" s="158">
        <f t="shared" si="7"/>
        <v>0</v>
      </c>
      <c r="AF15" s="64">
        <f t="shared" si="8"/>
        <v>8</v>
      </c>
      <c r="AG15" s="169">
        <f t="shared" si="9"/>
        <v>16</v>
      </c>
      <c r="AH15" s="169">
        <f t="shared" si="10"/>
        <v>0</v>
      </c>
      <c r="AI15" s="64">
        <f t="shared" si="11"/>
        <v>16</v>
      </c>
      <c r="AJ15" s="169">
        <f t="shared" si="12"/>
        <v>8</v>
      </c>
      <c r="AK15" s="169">
        <f t="shared" si="13"/>
        <v>0</v>
      </c>
      <c r="AL15" s="64">
        <f t="shared" si="14"/>
        <v>8</v>
      </c>
    </row>
    <row r="16" spans="1:38" ht="15.75" x14ac:dyDescent="0.25">
      <c r="A16" s="156">
        <f t="shared" si="24"/>
        <v>46148</v>
      </c>
      <c r="B16" s="2">
        <f t="shared" si="15"/>
        <v>84</v>
      </c>
      <c r="C16" s="54" t="str">
        <f t="shared" si="0"/>
        <v>06.5. środa</v>
      </c>
      <c r="D16" s="159"/>
      <c r="E16" s="117" t="str">
        <f t="shared" si="16"/>
        <v xml:space="preserve"> </v>
      </c>
      <c r="F16" s="115">
        <v>8</v>
      </c>
      <c r="G16" s="115">
        <v>16</v>
      </c>
      <c r="H16" s="55">
        <f t="shared" si="1"/>
        <v>8</v>
      </c>
      <c r="I16" s="55">
        <f t="shared" si="2"/>
        <v>0</v>
      </c>
      <c r="J16" s="56">
        <f t="shared" si="3"/>
        <v>0</v>
      </c>
      <c r="K16" s="57">
        <f t="shared" si="25"/>
        <v>1</v>
      </c>
      <c r="L16" s="57">
        <f t="shared" si="17"/>
        <v>0</v>
      </c>
      <c r="M16" s="58" t="str">
        <f t="shared" si="4"/>
        <v>przerwa1</v>
      </c>
      <c r="N16" s="57">
        <f t="shared" si="18"/>
        <v>1</v>
      </c>
      <c r="O16" s="138"/>
      <c r="P16" s="149"/>
      <c r="Q16" s="138"/>
      <c r="R16" s="8"/>
      <c r="S16" s="60">
        <f t="shared" si="5"/>
        <v>0</v>
      </c>
      <c r="T16" s="60" t="str">
        <f t="shared" si="19"/>
        <v xml:space="preserve"> </v>
      </c>
      <c r="U16" s="60" t="str">
        <f t="shared" si="20"/>
        <v xml:space="preserve"> </v>
      </c>
      <c r="W16">
        <f t="shared" si="21"/>
        <v>480</v>
      </c>
      <c r="X16">
        <f t="shared" si="22"/>
        <v>0</v>
      </c>
      <c r="Y16">
        <f t="shared" si="23"/>
        <v>480</v>
      </c>
      <c r="AD16" s="158">
        <f t="shared" si="6"/>
        <v>8</v>
      </c>
      <c r="AE16" s="158">
        <f t="shared" si="7"/>
        <v>0</v>
      </c>
      <c r="AF16" s="64">
        <f t="shared" si="8"/>
        <v>8</v>
      </c>
      <c r="AG16" s="169">
        <f t="shared" si="9"/>
        <v>16</v>
      </c>
      <c r="AH16" s="169">
        <f t="shared" si="10"/>
        <v>0</v>
      </c>
      <c r="AI16" s="64">
        <f t="shared" si="11"/>
        <v>16</v>
      </c>
      <c r="AJ16" s="169">
        <f t="shared" si="12"/>
        <v>8</v>
      </c>
      <c r="AK16" s="169">
        <f t="shared" si="13"/>
        <v>0</v>
      </c>
      <c r="AL16" s="64">
        <f t="shared" si="14"/>
        <v>8</v>
      </c>
    </row>
    <row r="17" spans="1:38" ht="15.75" x14ac:dyDescent="0.25">
      <c r="A17" s="156">
        <f t="shared" si="24"/>
        <v>46149</v>
      </c>
      <c r="B17" s="2">
        <f t="shared" si="15"/>
        <v>84</v>
      </c>
      <c r="C17" s="54" t="str">
        <f t="shared" si="0"/>
        <v>07.5. czwartek</v>
      </c>
      <c r="D17" s="159"/>
      <c r="E17" s="117" t="str">
        <f t="shared" si="16"/>
        <v xml:space="preserve"> </v>
      </c>
      <c r="F17" s="115">
        <v>8</v>
      </c>
      <c r="G17" s="115">
        <v>16</v>
      </c>
      <c r="H17" s="55">
        <f t="shared" si="1"/>
        <v>8</v>
      </c>
      <c r="I17" s="55">
        <f t="shared" si="2"/>
        <v>0</v>
      </c>
      <c r="J17" s="56">
        <f t="shared" si="3"/>
        <v>0</v>
      </c>
      <c r="K17" s="57">
        <f t="shared" si="25"/>
        <v>1</v>
      </c>
      <c r="L17" s="57">
        <f t="shared" si="17"/>
        <v>0</v>
      </c>
      <c r="M17" s="58" t="str">
        <f t="shared" si="4"/>
        <v>przerwa1</v>
      </c>
      <c r="N17" s="57">
        <f t="shared" si="18"/>
        <v>1</v>
      </c>
      <c r="O17" s="138"/>
      <c r="P17" s="149"/>
      <c r="Q17" s="138"/>
      <c r="R17" s="8"/>
      <c r="S17" s="60">
        <f t="shared" si="5"/>
        <v>0</v>
      </c>
      <c r="T17" s="60" t="str">
        <f t="shared" si="19"/>
        <v xml:space="preserve"> </v>
      </c>
      <c r="U17" s="60" t="str">
        <f t="shared" si="20"/>
        <v xml:space="preserve"> </v>
      </c>
      <c r="W17">
        <f t="shared" si="21"/>
        <v>480</v>
      </c>
      <c r="X17">
        <f t="shared" si="22"/>
        <v>0</v>
      </c>
      <c r="Y17">
        <f t="shared" si="23"/>
        <v>480</v>
      </c>
      <c r="AD17" s="158">
        <f t="shared" si="6"/>
        <v>8</v>
      </c>
      <c r="AE17" s="158">
        <f t="shared" si="7"/>
        <v>0</v>
      </c>
      <c r="AF17" s="64">
        <f t="shared" si="8"/>
        <v>8</v>
      </c>
      <c r="AG17" s="169">
        <f t="shared" si="9"/>
        <v>16</v>
      </c>
      <c r="AH17" s="169">
        <f t="shared" si="10"/>
        <v>0</v>
      </c>
      <c r="AI17" s="64">
        <f t="shared" si="11"/>
        <v>16</v>
      </c>
      <c r="AJ17" s="169">
        <f t="shared" si="12"/>
        <v>8</v>
      </c>
      <c r="AK17" s="169">
        <f t="shared" si="13"/>
        <v>0</v>
      </c>
      <c r="AL17" s="64">
        <f t="shared" si="14"/>
        <v>8</v>
      </c>
    </row>
    <row r="18" spans="1:38" ht="15.75" x14ac:dyDescent="0.25">
      <c r="A18" s="156">
        <f t="shared" si="24"/>
        <v>46150</v>
      </c>
      <c r="B18" s="2">
        <f t="shared" si="15"/>
        <v>84</v>
      </c>
      <c r="C18" s="54" t="str">
        <f t="shared" si="0"/>
        <v>08.5. piątek</v>
      </c>
      <c r="D18" s="159"/>
      <c r="E18" s="117" t="str">
        <f t="shared" si="16"/>
        <v xml:space="preserve"> </v>
      </c>
      <c r="F18" s="115">
        <v>8</v>
      </c>
      <c r="G18" s="115">
        <v>16</v>
      </c>
      <c r="H18" s="55">
        <f t="shared" si="1"/>
        <v>8</v>
      </c>
      <c r="I18" s="55">
        <f t="shared" si="2"/>
        <v>0</v>
      </c>
      <c r="J18" s="56">
        <f t="shared" si="3"/>
        <v>0</v>
      </c>
      <c r="K18" s="57">
        <f t="shared" si="25"/>
        <v>1</v>
      </c>
      <c r="L18" s="57">
        <f t="shared" si="17"/>
        <v>0</v>
      </c>
      <c r="M18" s="58" t="str">
        <f t="shared" si="4"/>
        <v>przerwa1</v>
      </c>
      <c r="N18" s="57">
        <f t="shared" si="18"/>
        <v>1</v>
      </c>
      <c r="O18" s="138"/>
      <c r="P18" s="149"/>
      <c r="Q18" s="138"/>
      <c r="R18" s="8"/>
      <c r="S18" s="60">
        <f t="shared" si="5"/>
        <v>0</v>
      </c>
      <c r="T18" s="60" t="str">
        <f t="shared" si="19"/>
        <v xml:space="preserve"> </v>
      </c>
      <c r="U18" s="60" t="str">
        <f t="shared" si="20"/>
        <v xml:space="preserve"> </v>
      </c>
      <c r="W18">
        <f t="shared" si="21"/>
        <v>480</v>
      </c>
      <c r="X18">
        <f t="shared" si="22"/>
        <v>0</v>
      </c>
      <c r="Y18">
        <f t="shared" si="23"/>
        <v>480</v>
      </c>
      <c r="AD18" s="158">
        <f t="shared" si="6"/>
        <v>0</v>
      </c>
      <c r="AE18" s="158">
        <f t="shared" si="7"/>
        <v>0</v>
      </c>
      <c r="AF18" s="64" t="str">
        <f t="shared" si="8"/>
        <v xml:space="preserve"> </v>
      </c>
      <c r="AG18" s="169">
        <f t="shared" si="9"/>
        <v>0</v>
      </c>
      <c r="AH18" s="169">
        <f t="shared" si="10"/>
        <v>0</v>
      </c>
      <c r="AI18" s="64" t="str">
        <f t="shared" si="11"/>
        <v xml:space="preserve"> </v>
      </c>
      <c r="AJ18" s="169" t="str">
        <f t="shared" si="12"/>
        <v/>
      </c>
      <c r="AK18" s="169" t="str">
        <f t="shared" si="13"/>
        <v/>
      </c>
      <c r="AL18" s="64" t="str">
        <f t="shared" si="14"/>
        <v xml:space="preserve"> </v>
      </c>
    </row>
    <row r="19" spans="1:38" ht="15.75" x14ac:dyDescent="0.25">
      <c r="A19" s="156">
        <f t="shared" si="24"/>
        <v>46151</v>
      </c>
      <c r="B19" s="2">
        <f t="shared" si="15"/>
        <v>84</v>
      </c>
      <c r="C19" s="54" t="str">
        <f t="shared" si="0"/>
        <v>09.5. sobota</v>
      </c>
      <c r="D19" s="159" t="s">
        <v>47</v>
      </c>
      <c r="E19" s="117" t="str">
        <f t="shared" si="16"/>
        <v>wolne</v>
      </c>
      <c r="F19" s="115"/>
      <c r="G19" s="115"/>
      <c r="H19" s="55" t="str">
        <f t="shared" si="1"/>
        <v/>
      </c>
      <c r="I19" s="55" t="str">
        <f t="shared" si="2"/>
        <v/>
      </c>
      <c r="J19" s="56" t="str">
        <f t="shared" si="3"/>
        <v/>
      </c>
      <c r="K19" s="57">
        <f t="shared" si="25"/>
        <v>0</v>
      </c>
      <c r="L19" s="57">
        <f t="shared" si="17"/>
        <v>0</v>
      </c>
      <c r="M19" s="58" t="str">
        <f t="shared" si="4"/>
        <v>przerwa1</v>
      </c>
      <c r="N19" s="57">
        <f t="shared" si="18"/>
        <v>0</v>
      </c>
      <c r="O19" s="138"/>
      <c r="P19" s="149"/>
      <c r="Q19" s="138"/>
      <c r="R19" s="8"/>
      <c r="S19" s="60" t="str">
        <f t="shared" si="5"/>
        <v xml:space="preserve"> </v>
      </c>
      <c r="T19" s="60" t="str">
        <f t="shared" si="19"/>
        <v xml:space="preserve"> </v>
      </c>
      <c r="U19" s="60" t="str">
        <f t="shared" si="20"/>
        <v xml:space="preserve"> </v>
      </c>
      <c r="W19">
        <f t="shared" si="21"/>
        <v>0</v>
      </c>
      <c r="X19">
        <f t="shared" si="22"/>
        <v>0</v>
      </c>
      <c r="Y19">
        <f t="shared" si="23"/>
        <v>0</v>
      </c>
      <c r="AD19" s="158">
        <f t="shared" si="6"/>
        <v>0</v>
      </c>
      <c r="AE19" s="158">
        <f t="shared" si="7"/>
        <v>0</v>
      </c>
      <c r="AF19" s="64" t="str">
        <f t="shared" si="8"/>
        <v xml:space="preserve"> </v>
      </c>
      <c r="AG19" s="169">
        <f t="shared" si="9"/>
        <v>0</v>
      </c>
      <c r="AH19" s="169">
        <f t="shared" si="10"/>
        <v>0</v>
      </c>
      <c r="AI19" s="64" t="str">
        <f t="shared" si="11"/>
        <v xml:space="preserve"> </v>
      </c>
      <c r="AJ19" s="169" t="str">
        <f t="shared" si="12"/>
        <v/>
      </c>
      <c r="AK19" s="169" t="str">
        <f t="shared" si="13"/>
        <v/>
      </c>
      <c r="AL19" s="64" t="str">
        <f t="shared" si="14"/>
        <v xml:space="preserve"> </v>
      </c>
    </row>
    <row r="20" spans="1:38" ht="15.75" x14ac:dyDescent="0.25">
      <c r="A20" s="156">
        <f t="shared" si="24"/>
        <v>46152</v>
      </c>
      <c r="B20" s="2">
        <f t="shared" si="15"/>
        <v>84</v>
      </c>
      <c r="C20" s="54" t="str">
        <f t="shared" si="0"/>
        <v>10.5. niedziela</v>
      </c>
      <c r="D20" s="159" t="s">
        <v>47</v>
      </c>
      <c r="E20" s="117" t="str">
        <f t="shared" si="16"/>
        <v>wolne</v>
      </c>
      <c r="F20" s="115"/>
      <c r="G20" s="115"/>
      <c r="H20" s="55" t="str">
        <f t="shared" si="1"/>
        <v/>
      </c>
      <c r="I20" s="55" t="str">
        <f t="shared" si="2"/>
        <v/>
      </c>
      <c r="J20" s="56" t="str">
        <f t="shared" si="3"/>
        <v/>
      </c>
      <c r="K20" s="57">
        <f t="shared" si="25"/>
        <v>0</v>
      </c>
      <c r="L20" s="57">
        <f t="shared" si="17"/>
        <v>0</v>
      </c>
      <c r="M20" s="58" t="str">
        <f t="shared" si="4"/>
        <v>przerwa1</v>
      </c>
      <c r="N20" s="57">
        <f t="shared" si="18"/>
        <v>0</v>
      </c>
      <c r="O20" s="138"/>
      <c r="P20" s="149"/>
      <c r="Q20" s="138"/>
      <c r="R20" s="8"/>
      <c r="S20" s="60" t="str">
        <f t="shared" si="5"/>
        <v xml:space="preserve"> </v>
      </c>
      <c r="T20" s="60" t="str">
        <f t="shared" si="19"/>
        <v xml:space="preserve"> </v>
      </c>
      <c r="U20" s="60" t="str">
        <f t="shared" si="20"/>
        <v xml:space="preserve"> </v>
      </c>
      <c r="W20">
        <f t="shared" si="21"/>
        <v>0</v>
      </c>
      <c r="X20">
        <f t="shared" si="22"/>
        <v>0</v>
      </c>
      <c r="Y20">
        <f t="shared" si="23"/>
        <v>0</v>
      </c>
      <c r="AD20" s="158">
        <f t="shared" si="6"/>
        <v>8</v>
      </c>
      <c r="AE20" s="158">
        <f t="shared" si="7"/>
        <v>0</v>
      </c>
      <c r="AF20" s="64">
        <f t="shared" si="8"/>
        <v>8</v>
      </c>
      <c r="AG20" s="169">
        <f t="shared" si="9"/>
        <v>16</v>
      </c>
      <c r="AH20" s="169">
        <f t="shared" si="10"/>
        <v>0</v>
      </c>
      <c r="AI20" s="64">
        <f t="shared" si="11"/>
        <v>16</v>
      </c>
      <c r="AJ20" s="169">
        <f t="shared" si="12"/>
        <v>8</v>
      </c>
      <c r="AK20" s="169">
        <f t="shared" si="13"/>
        <v>0</v>
      </c>
      <c r="AL20" s="64">
        <f t="shared" si="14"/>
        <v>8</v>
      </c>
    </row>
    <row r="21" spans="1:38" ht="15.75" x14ac:dyDescent="0.25">
      <c r="A21" s="156">
        <f t="shared" si="24"/>
        <v>46153</v>
      </c>
      <c r="B21" s="2">
        <f t="shared" si="15"/>
        <v>84</v>
      </c>
      <c r="C21" s="54" t="str">
        <f t="shared" si="0"/>
        <v>11.5. poniedziałek</v>
      </c>
      <c r="D21" s="159"/>
      <c r="E21" s="117" t="str">
        <f t="shared" si="16"/>
        <v xml:space="preserve"> </v>
      </c>
      <c r="F21" s="115">
        <v>8</v>
      </c>
      <c r="G21" s="115">
        <v>16</v>
      </c>
      <c r="H21" s="55">
        <f t="shared" si="1"/>
        <v>8</v>
      </c>
      <c r="I21" s="55">
        <f t="shared" si="2"/>
        <v>0</v>
      </c>
      <c r="J21" s="56">
        <f t="shared" si="3"/>
        <v>0</v>
      </c>
      <c r="K21" s="57">
        <f t="shared" si="25"/>
        <v>1</v>
      </c>
      <c r="L21" s="57">
        <f t="shared" si="17"/>
        <v>0</v>
      </c>
      <c r="M21" s="58" t="str">
        <f t="shared" si="4"/>
        <v>przerwa1</v>
      </c>
      <c r="N21" s="57">
        <f t="shared" si="18"/>
        <v>1</v>
      </c>
      <c r="O21" s="138"/>
      <c r="P21" s="149"/>
      <c r="Q21" s="138"/>
      <c r="R21" s="8"/>
      <c r="S21" s="60">
        <f t="shared" si="5"/>
        <v>0</v>
      </c>
      <c r="T21" s="60" t="str">
        <f t="shared" si="19"/>
        <v xml:space="preserve"> </v>
      </c>
      <c r="U21" s="60" t="str">
        <f t="shared" si="20"/>
        <v xml:space="preserve"> </v>
      </c>
      <c r="W21">
        <f t="shared" si="21"/>
        <v>480</v>
      </c>
      <c r="X21">
        <f t="shared" si="22"/>
        <v>0</v>
      </c>
      <c r="Y21">
        <f t="shared" si="23"/>
        <v>480</v>
      </c>
      <c r="AD21" s="158">
        <f t="shared" si="6"/>
        <v>8</v>
      </c>
      <c r="AE21" s="158">
        <f t="shared" si="7"/>
        <v>0</v>
      </c>
      <c r="AF21" s="64">
        <f t="shared" si="8"/>
        <v>8</v>
      </c>
      <c r="AG21" s="169">
        <f t="shared" si="9"/>
        <v>16</v>
      </c>
      <c r="AH21" s="169">
        <f t="shared" si="10"/>
        <v>0</v>
      </c>
      <c r="AI21" s="64">
        <f t="shared" si="11"/>
        <v>16</v>
      </c>
      <c r="AJ21" s="169">
        <f t="shared" si="12"/>
        <v>8</v>
      </c>
      <c r="AK21" s="169">
        <f t="shared" si="13"/>
        <v>0</v>
      </c>
      <c r="AL21" s="64">
        <f t="shared" si="14"/>
        <v>8</v>
      </c>
    </row>
    <row r="22" spans="1:38" ht="15.75" x14ac:dyDescent="0.25">
      <c r="A22" s="156">
        <f t="shared" si="24"/>
        <v>46154</v>
      </c>
      <c r="B22" s="2">
        <f t="shared" si="15"/>
        <v>84</v>
      </c>
      <c r="C22" s="54" t="str">
        <f t="shared" si="0"/>
        <v>12.5. wtorek</v>
      </c>
      <c r="D22" s="159"/>
      <c r="E22" s="117" t="str">
        <f t="shared" si="16"/>
        <v xml:space="preserve"> </v>
      </c>
      <c r="F22" s="115">
        <v>8</v>
      </c>
      <c r="G22" s="115">
        <v>16</v>
      </c>
      <c r="H22" s="55">
        <f t="shared" si="1"/>
        <v>8</v>
      </c>
      <c r="I22" s="55">
        <f t="shared" si="2"/>
        <v>0</v>
      </c>
      <c r="J22" s="56">
        <f t="shared" si="3"/>
        <v>0</v>
      </c>
      <c r="K22" s="57">
        <f t="shared" si="25"/>
        <v>1</v>
      </c>
      <c r="L22" s="57">
        <f t="shared" si="17"/>
        <v>0</v>
      </c>
      <c r="M22" s="58" t="str">
        <f t="shared" si="4"/>
        <v>przerwa1</v>
      </c>
      <c r="N22" s="57">
        <f t="shared" si="18"/>
        <v>1</v>
      </c>
      <c r="O22" s="138"/>
      <c r="P22" s="149"/>
      <c r="Q22" s="138"/>
      <c r="R22" s="8"/>
      <c r="S22" s="60">
        <f t="shared" si="5"/>
        <v>0</v>
      </c>
      <c r="T22" s="60" t="str">
        <f t="shared" si="19"/>
        <v xml:space="preserve"> </v>
      </c>
      <c r="U22" s="60" t="str">
        <f t="shared" si="20"/>
        <v xml:space="preserve"> </v>
      </c>
      <c r="W22">
        <f t="shared" si="21"/>
        <v>480</v>
      </c>
      <c r="X22">
        <f t="shared" si="22"/>
        <v>0</v>
      </c>
      <c r="Y22">
        <f t="shared" si="23"/>
        <v>480</v>
      </c>
      <c r="AD22" s="158">
        <f t="shared" si="6"/>
        <v>8</v>
      </c>
      <c r="AE22" s="158">
        <f t="shared" si="7"/>
        <v>0</v>
      </c>
      <c r="AF22" s="64">
        <f t="shared" si="8"/>
        <v>8</v>
      </c>
      <c r="AG22" s="169">
        <f t="shared" si="9"/>
        <v>16</v>
      </c>
      <c r="AH22" s="169">
        <f t="shared" si="10"/>
        <v>0</v>
      </c>
      <c r="AI22" s="64">
        <f t="shared" si="11"/>
        <v>16</v>
      </c>
      <c r="AJ22" s="169">
        <f t="shared" si="12"/>
        <v>8</v>
      </c>
      <c r="AK22" s="169">
        <f t="shared" si="13"/>
        <v>0</v>
      </c>
      <c r="AL22" s="64">
        <f t="shared" si="14"/>
        <v>8</v>
      </c>
    </row>
    <row r="23" spans="1:38" ht="15.75" x14ac:dyDescent="0.25">
      <c r="A23" s="156">
        <f t="shared" si="24"/>
        <v>46155</v>
      </c>
      <c r="B23" s="2">
        <f t="shared" si="15"/>
        <v>84</v>
      </c>
      <c r="C23" s="54" t="str">
        <f t="shared" si="0"/>
        <v>13.5. środa</v>
      </c>
      <c r="D23" s="159"/>
      <c r="E23" s="117" t="str">
        <f t="shared" si="16"/>
        <v xml:space="preserve"> </v>
      </c>
      <c r="F23" s="115">
        <v>8</v>
      </c>
      <c r="G23" s="115">
        <v>16</v>
      </c>
      <c r="H23" s="55">
        <f t="shared" si="1"/>
        <v>8</v>
      </c>
      <c r="I23" s="55">
        <f t="shared" si="2"/>
        <v>0</v>
      </c>
      <c r="J23" s="56">
        <f t="shared" si="3"/>
        <v>0</v>
      </c>
      <c r="K23" s="57">
        <f t="shared" si="25"/>
        <v>1</v>
      </c>
      <c r="L23" s="57">
        <f t="shared" si="17"/>
        <v>0</v>
      </c>
      <c r="M23" s="58" t="str">
        <f t="shared" si="4"/>
        <v>przerwa1</v>
      </c>
      <c r="N23" s="57">
        <f t="shared" si="18"/>
        <v>1</v>
      </c>
      <c r="O23" s="138"/>
      <c r="P23" s="149"/>
      <c r="Q23" s="138"/>
      <c r="R23" s="8"/>
      <c r="S23" s="60">
        <f t="shared" si="5"/>
        <v>0</v>
      </c>
      <c r="T23" s="60" t="str">
        <f t="shared" si="19"/>
        <v xml:space="preserve"> </v>
      </c>
      <c r="U23" s="60" t="str">
        <f t="shared" si="20"/>
        <v xml:space="preserve"> </v>
      </c>
      <c r="W23">
        <f t="shared" si="21"/>
        <v>480</v>
      </c>
      <c r="X23">
        <f t="shared" si="22"/>
        <v>0</v>
      </c>
      <c r="Y23">
        <f t="shared" si="23"/>
        <v>480</v>
      </c>
      <c r="AD23" s="158">
        <f t="shared" si="6"/>
        <v>8</v>
      </c>
      <c r="AE23" s="158">
        <f t="shared" si="7"/>
        <v>0</v>
      </c>
      <c r="AF23" s="64">
        <f t="shared" si="8"/>
        <v>8</v>
      </c>
      <c r="AG23" s="169">
        <f t="shared" si="9"/>
        <v>16</v>
      </c>
      <c r="AH23" s="169">
        <f t="shared" si="10"/>
        <v>0</v>
      </c>
      <c r="AI23" s="64">
        <f t="shared" si="11"/>
        <v>16</v>
      </c>
      <c r="AJ23" s="169">
        <f t="shared" si="12"/>
        <v>8</v>
      </c>
      <c r="AK23" s="169">
        <f t="shared" si="13"/>
        <v>0</v>
      </c>
      <c r="AL23" s="64">
        <f t="shared" si="14"/>
        <v>8</v>
      </c>
    </row>
    <row r="24" spans="1:38" ht="15.75" x14ac:dyDescent="0.25">
      <c r="A24" s="156">
        <f t="shared" si="24"/>
        <v>46156</v>
      </c>
      <c r="B24" s="2">
        <f t="shared" si="15"/>
        <v>84</v>
      </c>
      <c r="C24" s="54" t="str">
        <f t="shared" si="0"/>
        <v>14.5. czwartek</v>
      </c>
      <c r="D24" s="159"/>
      <c r="E24" s="117" t="str">
        <f t="shared" si="16"/>
        <v xml:space="preserve"> </v>
      </c>
      <c r="F24" s="115">
        <v>8</v>
      </c>
      <c r="G24" s="115">
        <v>16</v>
      </c>
      <c r="H24" s="55">
        <f t="shared" si="1"/>
        <v>8</v>
      </c>
      <c r="I24" s="55">
        <f t="shared" si="2"/>
        <v>0</v>
      </c>
      <c r="J24" s="56">
        <f t="shared" si="3"/>
        <v>0</v>
      </c>
      <c r="K24" s="57">
        <f t="shared" si="25"/>
        <v>1</v>
      </c>
      <c r="L24" s="57">
        <f t="shared" si="17"/>
        <v>0</v>
      </c>
      <c r="M24" s="58" t="str">
        <f t="shared" si="4"/>
        <v>przerwa1</v>
      </c>
      <c r="N24" s="57">
        <f t="shared" si="18"/>
        <v>1</v>
      </c>
      <c r="O24" s="138"/>
      <c r="P24" s="149"/>
      <c r="Q24" s="138"/>
      <c r="R24" s="8"/>
      <c r="S24" s="60">
        <f t="shared" si="5"/>
        <v>0</v>
      </c>
      <c r="T24" s="60" t="str">
        <f t="shared" si="19"/>
        <v xml:space="preserve"> </v>
      </c>
      <c r="U24" s="60" t="str">
        <f t="shared" si="20"/>
        <v xml:space="preserve"> </v>
      </c>
      <c r="W24">
        <f t="shared" si="21"/>
        <v>480</v>
      </c>
      <c r="X24">
        <f t="shared" si="22"/>
        <v>0</v>
      </c>
      <c r="Y24">
        <f t="shared" si="23"/>
        <v>480</v>
      </c>
      <c r="AD24" s="158">
        <f t="shared" si="6"/>
        <v>8</v>
      </c>
      <c r="AE24" s="158">
        <f t="shared" si="7"/>
        <v>0</v>
      </c>
      <c r="AF24" s="64">
        <f t="shared" si="8"/>
        <v>8</v>
      </c>
      <c r="AG24" s="169">
        <f t="shared" si="9"/>
        <v>16</v>
      </c>
      <c r="AH24" s="169">
        <f t="shared" si="10"/>
        <v>0</v>
      </c>
      <c r="AI24" s="64">
        <f t="shared" si="11"/>
        <v>16</v>
      </c>
      <c r="AJ24" s="169">
        <f t="shared" si="12"/>
        <v>8</v>
      </c>
      <c r="AK24" s="169">
        <f t="shared" si="13"/>
        <v>0</v>
      </c>
      <c r="AL24" s="64">
        <f t="shared" si="14"/>
        <v>8</v>
      </c>
    </row>
    <row r="25" spans="1:38" ht="15.75" x14ac:dyDescent="0.25">
      <c r="A25" s="156">
        <f t="shared" si="24"/>
        <v>46157</v>
      </c>
      <c r="B25" s="2">
        <f t="shared" si="15"/>
        <v>84</v>
      </c>
      <c r="C25" s="54" t="str">
        <f t="shared" si="0"/>
        <v>15.5. piątek</v>
      </c>
      <c r="D25" s="159"/>
      <c r="E25" s="117" t="str">
        <f t="shared" si="16"/>
        <v xml:space="preserve"> </v>
      </c>
      <c r="F25" s="115">
        <v>8</v>
      </c>
      <c r="G25" s="115">
        <v>16</v>
      </c>
      <c r="H25" s="55">
        <f t="shared" si="1"/>
        <v>8</v>
      </c>
      <c r="I25" s="55">
        <f t="shared" si="2"/>
        <v>0</v>
      </c>
      <c r="J25" s="56">
        <f t="shared" si="3"/>
        <v>0</v>
      </c>
      <c r="K25" s="57">
        <f t="shared" si="25"/>
        <v>1</v>
      </c>
      <c r="L25" s="57">
        <f t="shared" si="17"/>
        <v>0</v>
      </c>
      <c r="M25" s="58" t="str">
        <f t="shared" si="4"/>
        <v>przerwa1</v>
      </c>
      <c r="N25" s="57">
        <f t="shared" si="18"/>
        <v>1</v>
      </c>
      <c r="O25" s="138"/>
      <c r="P25" s="149"/>
      <c r="Q25" s="138"/>
      <c r="R25" s="8"/>
      <c r="S25" s="60">
        <f t="shared" si="5"/>
        <v>0</v>
      </c>
      <c r="T25" s="60" t="str">
        <f t="shared" si="19"/>
        <v xml:space="preserve"> </v>
      </c>
      <c r="U25" s="60" t="str">
        <f t="shared" si="20"/>
        <v xml:space="preserve"> </v>
      </c>
      <c r="W25">
        <f t="shared" si="21"/>
        <v>480</v>
      </c>
      <c r="X25">
        <f t="shared" si="22"/>
        <v>0</v>
      </c>
      <c r="Y25">
        <f t="shared" si="23"/>
        <v>480</v>
      </c>
      <c r="AD25" s="158">
        <f t="shared" si="6"/>
        <v>0</v>
      </c>
      <c r="AE25" s="158">
        <f t="shared" si="7"/>
        <v>0</v>
      </c>
      <c r="AF25" s="64" t="str">
        <f t="shared" si="8"/>
        <v xml:space="preserve"> </v>
      </c>
      <c r="AG25" s="169">
        <f t="shared" si="9"/>
        <v>0</v>
      </c>
      <c r="AH25" s="169">
        <f t="shared" si="10"/>
        <v>0</v>
      </c>
      <c r="AI25" s="64" t="str">
        <f t="shared" si="11"/>
        <v xml:space="preserve"> </v>
      </c>
      <c r="AJ25" s="169" t="str">
        <f t="shared" si="12"/>
        <v/>
      </c>
      <c r="AK25" s="169" t="str">
        <f t="shared" si="13"/>
        <v/>
      </c>
      <c r="AL25" s="64" t="str">
        <f t="shared" si="14"/>
        <v xml:space="preserve"> </v>
      </c>
    </row>
    <row r="26" spans="1:38" ht="15.75" x14ac:dyDescent="0.25">
      <c r="A26" s="156">
        <f t="shared" si="24"/>
        <v>46158</v>
      </c>
      <c r="B26" s="2">
        <f t="shared" si="15"/>
        <v>84</v>
      </c>
      <c r="C26" s="54" t="str">
        <f t="shared" si="0"/>
        <v>16.5. sobota</v>
      </c>
      <c r="D26" s="159" t="s">
        <v>47</v>
      </c>
      <c r="E26" s="117" t="str">
        <f t="shared" si="16"/>
        <v>wolne</v>
      </c>
      <c r="F26" s="115"/>
      <c r="G26" s="115"/>
      <c r="H26" s="55" t="str">
        <f t="shared" si="1"/>
        <v/>
      </c>
      <c r="I26" s="55" t="str">
        <f t="shared" si="2"/>
        <v/>
      </c>
      <c r="J26" s="56" t="str">
        <f t="shared" si="3"/>
        <v/>
      </c>
      <c r="K26" s="57">
        <f t="shared" si="25"/>
        <v>0</v>
      </c>
      <c r="L26" s="57">
        <f t="shared" si="17"/>
        <v>0</v>
      </c>
      <c r="M26" s="58" t="str">
        <f t="shared" si="4"/>
        <v>przerwa1</v>
      </c>
      <c r="N26" s="57">
        <f t="shared" si="18"/>
        <v>0</v>
      </c>
      <c r="O26" s="138"/>
      <c r="P26" s="149"/>
      <c r="Q26" s="138"/>
      <c r="R26" s="8"/>
      <c r="S26" s="60" t="str">
        <f t="shared" si="5"/>
        <v xml:space="preserve"> </v>
      </c>
      <c r="T26" s="60" t="str">
        <f t="shared" si="19"/>
        <v xml:space="preserve"> </v>
      </c>
      <c r="U26" s="60" t="str">
        <f t="shared" si="20"/>
        <v xml:space="preserve"> </v>
      </c>
      <c r="W26">
        <f t="shared" si="21"/>
        <v>0</v>
      </c>
      <c r="X26">
        <f t="shared" si="22"/>
        <v>0</v>
      </c>
      <c r="Y26">
        <f t="shared" si="23"/>
        <v>0</v>
      </c>
      <c r="AD26" s="158">
        <f t="shared" si="6"/>
        <v>0</v>
      </c>
      <c r="AE26" s="158">
        <f t="shared" si="7"/>
        <v>0</v>
      </c>
      <c r="AF26" s="64" t="str">
        <f t="shared" si="8"/>
        <v xml:space="preserve"> </v>
      </c>
      <c r="AG26" s="169">
        <f t="shared" si="9"/>
        <v>0</v>
      </c>
      <c r="AH26" s="169">
        <f t="shared" si="10"/>
        <v>0</v>
      </c>
      <c r="AI26" s="64" t="str">
        <f t="shared" si="11"/>
        <v xml:space="preserve"> </v>
      </c>
      <c r="AJ26" s="169" t="str">
        <f t="shared" si="12"/>
        <v/>
      </c>
      <c r="AK26" s="169" t="str">
        <f t="shared" si="13"/>
        <v/>
      </c>
      <c r="AL26" s="64" t="str">
        <f t="shared" si="14"/>
        <v xml:space="preserve"> </v>
      </c>
    </row>
    <row r="27" spans="1:38" ht="15.75" x14ac:dyDescent="0.25">
      <c r="A27" s="156">
        <f t="shared" si="24"/>
        <v>46159</v>
      </c>
      <c r="B27" s="2">
        <f t="shared" si="15"/>
        <v>84</v>
      </c>
      <c r="C27" s="54" t="str">
        <f t="shared" si="0"/>
        <v>17.5. niedziela</v>
      </c>
      <c r="D27" s="159" t="s">
        <v>47</v>
      </c>
      <c r="E27" s="117" t="str">
        <f t="shared" si="16"/>
        <v>wolne</v>
      </c>
      <c r="F27" s="115"/>
      <c r="G27" s="115"/>
      <c r="H27" s="55" t="str">
        <f t="shared" si="1"/>
        <v/>
      </c>
      <c r="I27" s="55" t="str">
        <f t="shared" si="2"/>
        <v/>
      </c>
      <c r="J27" s="56" t="str">
        <f t="shared" si="3"/>
        <v/>
      </c>
      <c r="K27" s="57">
        <f t="shared" si="25"/>
        <v>0</v>
      </c>
      <c r="L27" s="57">
        <f t="shared" si="17"/>
        <v>0</v>
      </c>
      <c r="M27" s="58" t="str">
        <f t="shared" si="4"/>
        <v>przerwa1</v>
      </c>
      <c r="N27" s="57">
        <f t="shared" si="18"/>
        <v>0</v>
      </c>
      <c r="O27" s="138"/>
      <c r="P27" s="149"/>
      <c r="Q27" s="138"/>
      <c r="R27" s="8"/>
      <c r="S27" s="60" t="str">
        <f t="shared" si="5"/>
        <v xml:space="preserve"> </v>
      </c>
      <c r="T27" s="60" t="str">
        <f t="shared" si="19"/>
        <v xml:space="preserve"> </v>
      </c>
      <c r="U27" s="60" t="str">
        <f t="shared" si="20"/>
        <v xml:space="preserve"> </v>
      </c>
      <c r="W27">
        <f t="shared" si="21"/>
        <v>0</v>
      </c>
      <c r="X27">
        <f t="shared" si="22"/>
        <v>0</v>
      </c>
      <c r="Y27">
        <f t="shared" si="23"/>
        <v>0</v>
      </c>
      <c r="AD27" s="158">
        <f t="shared" si="6"/>
        <v>8</v>
      </c>
      <c r="AE27" s="158">
        <f t="shared" si="7"/>
        <v>0</v>
      </c>
      <c r="AF27" s="64">
        <f t="shared" si="8"/>
        <v>8</v>
      </c>
      <c r="AG27" s="169">
        <f t="shared" si="9"/>
        <v>16</v>
      </c>
      <c r="AH27" s="169">
        <f t="shared" si="10"/>
        <v>0</v>
      </c>
      <c r="AI27" s="64">
        <f t="shared" si="11"/>
        <v>16</v>
      </c>
      <c r="AJ27" s="169">
        <f t="shared" si="12"/>
        <v>8</v>
      </c>
      <c r="AK27" s="169">
        <f t="shared" si="13"/>
        <v>0</v>
      </c>
      <c r="AL27" s="64">
        <f t="shared" si="14"/>
        <v>8</v>
      </c>
    </row>
    <row r="28" spans="1:38" ht="15.75" x14ac:dyDescent="0.25">
      <c r="A28" s="156">
        <f t="shared" si="24"/>
        <v>46160</v>
      </c>
      <c r="B28" s="2">
        <f t="shared" si="15"/>
        <v>84</v>
      </c>
      <c r="C28" s="54" t="str">
        <f t="shared" si="0"/>
        <v>18.5. poniedziałek</v>
      </c>
      <c r="D28" s="159"/>
      <c r="E28" s="117" t="str">
        <f t="shared" si="16"/>
        <v xml:space="preserve"> </v>
      </c>
      <c r="F28" s="115">
        <v>8</v>
      </c>
      <c r="G28" s="115">
        <v>16</v>
      </c>
      <c r="H28" s="55">
        <f t="shared" si="1"/>
        <v>8</v>
      </c>
      <c r="I28" s="55">
        <f t="shared" si="2"/>
        <v>0</v>
      </c>
      <c r="J28" s="56">
        <f t="shared" si="3"/>
        <v>0</v>
      </c>
      <c r="K28" s="57">
        <f t="shared" si="25"/>
        <v>1</v>
      </c>
      <c r="L28" s="57">
        <f t="shared" si="17"/>
        <v>0</v>
      </c>
      <c r="M28" s="58" t="str">
        <f t="shared" si="4"/>
        <v>przerwa1</v>
      </c>
      <c r="N28" s="57">
        <f t="shared" si="18"/>
        <v>1</v>
      </c>
      <c r="O28" s="138"/>
      <c r="P28" s="149"/>
      <c r="Q28" s="138"/>
      <c r="R28" s="8"/>
      <c r="S28" s="60">
        <f t="shared" si="5"/>
        <v>0</v>
      </c>
      <c r="T28" s="60" t="str">
        <f t="shared" si="19"/>
        <v xml:space="preserve"> </v>
      </c>
      <c r="U28" s="60" t="str">
        <f t="shared" si="20"/>
        <v xml:space="preserve"> </v>
      </c>
      <c r="W28">
        <f t="shared" si="21"/>
        <v>480</v>
      </c>
      <c r="X28">
        <f t="shared" si="22"/>
        <v>0</v>
      </c>
      <c r="Y28">
        <f t="shared" si="23"/>
        <v>480</v>
      </c>
      <c r="AD28" s="158">
        <f t="shared" si="6"/>
        <v>8</v>
      </c>
      <c r="AE28" s="158">
        <f t="shared" si="7"/>
        <v>0</v>
      </c>
      <c r="AF28" s="64">
        <f t="shared" si="8"/>
        <v>8</v>
      </c>
      <c r="AG28" s="169">
        <f t="shared" si="9"/>
        <v>16</v>
      </c>
      <c r="AH28" s="169">
        <f t="shared" si="10"/>
        <v>0</v>
      </c>
      <c r="AI28" s="64">
        <f t="shared" si="11"/>
        <v>16</v>
      </c>
      <c r="AJ28" s="169">
        <f t="shared" si="12"/>
        <v>8</v>
      </c>
      <c r="AK28" s="169">
        <f t="shared" si="13"/>
        <v>0</v>
      </c>
      <c r="AL28" s="64">
        <f t="shared" si="14"/>
        <v>8</v>
      </c>
    </row>
    <row r="29" spans="1:38" ht="15.75" x14ac:dyDescent="0.25">
      <c r="A29" s="156">
        <f t="shared" si="24"/>
        <v>46161</v>
      </c>
      <c r="B29" s="2">
        <f t="shared" si="15"/>
        <v>84</v>
      </c>
      <c r="C29" s="54" t="str">
        <f t="shared" si="0"/>
        <v>19.5. wtorek</v>
      </c>
      <c r="D29" s="159"/>
      <c r="E29" s="117" t="str">
        <f t="shared" si="16"/>
        <v xml:space="preserve"> </v>
      </c>
      <c r="F29" s="115">
        <v>8</v>
      </c>
      <c r="G29" s="115">
        <v>16</v>
      </c>
      <c r="H29" s="55">
        <f t="shared" si="1"/>
        <v>8</v>
      </c>
      <c r="I29" s="55">
        <f t="shared" si="2"/>
        <v>0</v>
      </c>
      <c r="J29" s="56">
        <f t="shared" si="3"/>
        <v>0</v>
      </c>
      <c r="K29" s="57">
        <f t="shared" si="25"/>
        <v>1</v>
      </c>
      <c r="L29" s="57">
        <f t="shared" si="17"/>
        <v>0</v>
      </c>
      <c r="M29" s="58" t="str">
        <f t="shared" si="4"/>
        <v>przerwa1</v>
      </c>
      <c r="N29" s="57">
        <f t="shared" si="18"/>
        <v>1</v>
      </c>
      <c r="O29" s="138"/>
      <c r="P29" s="149"/>
      <c r="Q29" s="138"/>
      <c r="R29" s="8"/>
      <c r="S29" s="60">
        <f t="shared" si="5"/>
        <v>0</v>
      </c>
      <c r="T29" s="60" t="str">
        <f t="shared" si="19"/>
        <v xml:space="preserve"> </v>
      </c>
      <c r="U29" s="60" t="str">
        <f t="shared" si="20"/>
        <v xml:space="preserve"> </v>
      </c>
      <c r="W29">
        <f t="shared" si="21"/>
        <v>480</v>
      </c>
      <c r="X29">
        <f t="shared" si="22"/>
        <v>0</v>
      </c>
      <c r="Y29">
        <f t="shared" si="23"/>
        <v>480</v>
      </c>
      <c r="AD29" s="158">
        <f t="shared" si="6"/>
        <v>8</v>
      </c>
      <c r="AE29" s="158">
        <f t="shared" si="7"/>
        <v>0</v>
      </c>
      <c r="AF29" s="64">
        <f t="shared" si="8"/>
        <v>8</v>
      </c>
      <c r="AG29" s="169">
        <f t="shared" si="9"/>
        <v>16</v>
      </c>
      <c r="AH29" s="169">
        <f t="shared" si="10"/>
        <v>0</v>
      </c>
      <c r="AI29" s="64">
        <f t="shared" si="11"/>
        <v>16</v>
      </c>
      <c r="AJ29" s="169">
        <f t="shared" si="12"/>
        <v>8</v>
      </c>
      <c r="AK29" s="169">
        <f t="shared" si="13"/>
        <v>0</v>
      </c>
      <c r="AL29" s="64">
        <f t="shared" si="14"/>
        <v>8</v>
      </c>
    </row>
    <row r="30" spans="1:38" ht="15.75" x14ac:dyDescent="0.25">
      <c r="A30" s="156">
        <f t="shared" si="24"/>
        <v>46162</v>
      </c>
      <c r="B30" s="2">
        <f t="shared" si="15"/>
        <v>84</v>
      </c>
      <c r="C30" s="54" t="str">
        <f t="shared" si="0"/>
        <v>20.5. środa</v>
      </c>
      <c r="D30" s="159"/>
      <c r="E30" s="117" t="str">
        <f t="shared" si="16"/>
        <v xml:space="preserve"> </v>
      </c>
      <c r="F30" s="115">
        <v>8</v>
      </c>
      <c r="G30" s="115">
        <v>16</v>
      </c>
      <c r="H30" s="55">
        <f t="shared" si="1"/>
        <v>8</v>
      </c>
      <c r="I30" s="55">
        <f t="shared" si="2"/>
        <v>0</v>
      </c>
      <c r="J30" s="56">
        <f t="shared" si="3"/>
        <v>0</v>
      </c>
      <c r="K30" s="57">
        <f t="shared" si="25"/>
        <v>1</v>
      </c>
      <c r="L30" s="57">
        <f t="shared" si="17"/>
        <v>0</v>
      </c>
      <c r="M30" s="58" t="str">
        <f t="shared" si="4"/>
        <v>przerwa1</v>
      </c>
      <c r="N30" s="57">
        <f t="shared" si="18"/>
        <v>1</v>
      </c>
      <c r="O30" s="138"/>
      <c r="P30" s="149"/>
      <c r="Q30" s="138"/>
      <c r="R30" s="8"/>
      <c r="S30" s="60">
        <f t="shared" si="5"/>
        <v>0</v>
      </c>
      <c r="T30" s="60" t="str">
        <f t="shared" si="19"/>
        <v xml:space="preserve"> </v>
      </c>
      <c r="U30" s="60" t="str">
        <f t="shared" si="20"/>
        <v xml:space="preserve"> </v>
      </c>
      <c r="W30">
        <f t="shared" si="21"/>
        <v>480</v>
      </c>
      <c r="X30">
        <f t="shared" si="22"/>
        <v>0</v>
      </c>
      <c r="Y30">
        <f t="shared" si="23"/>
        <v>480</v>
      </c>
      <c r="AD30" s="158">
        <f t="shared" si="6"/>
        <v>8</v>
      </c>
      <c r="AE30" s="158">
        <f t="shared" si="7"/>
        <v>0</v>
      </c>
      <c r="AF30" s="64">
        <f t="shared" si="8"/>
        <v>8</v>
      </c>
      <c r="AG30" s="169">
        <f t="shared" si="9"/>
        <v>16</v>
      </c>
      <c r="AH30" s="169">
        <f t="shared" si="10"/>
        <v>0</v>
      </c>
      <c r="AI30" s="64">
        <f t="shared" si="11"/>
        <v>16</v>
      </c>
      <c r="AJ30" s="169">
        <f t="shared" si="12"/>
        <v>8</v>
      </c>
      <c r="AK30" s="169">
        <f t="shared" si="13"/>
        <v>0</v>
      </c>
      <c r="AL30" s="64">
        <f t="shared" si="14"/>
        <v>8</v>
      </c>
    </row>
    <row r="31" spans="1:38" ht="15.75" x14ac:dyDescent="0.25">
      <c r="A31" s="156">
        <f t="shared" si="24"/>
        <v>46163</v>
      </c>
      <c r="B31" s="2">
        <f t="shared" si="15"/>
        <v>84</v>
      </c>
      <c r="C31" s="54" t="str">
        <f t="shared" si="0"/>
        <v>21.5. czwartek</v>
      </c>
      <c r="D31" s="159"/>
      <c r="E31" s="117" t="str">
        <f t="shared" si="16"/>
        <v xml:space="preserve"> </v>
      </c>
      <c r="F31" s="115">
        <v>8</v>
      </c>
      <c r="G31" s="115">
        <v>16</v>
      </c>
      <c r="H31" s="55">
        <f t="shared" si="1"/>
        <v>8</v>
      </c>
      <c r="I31" s="55">
        <f t="shared" si="2"/>
        <v>0</v>
      </c>
      <c r="J31" s="56">
        <f t="shared" si="3"/>
        <v>0</v>
      </c>
      <c r="K31" s="57">
        <f t="shared" si="25"/>
        <v>1</v>
      </c>
      <c r="L31" s="57">
        <f t="shared" si="17"/>
        <v>0</v>
      </c>
      <c r="M31" s="58" t="str">
        <f t="shared" si="4"/>
        <v>przerwa1</v>
      </c>
      <c r="N31" s="57">
        <f t="shared" si="18"/>
        <v>1</v>
      </c>
      <c r="O31" s="138"/>
      <c r="P31" s="149"/>
      <c r="Q31" s="138"/>
      <c r="R31" s="8"/>
      <c r="S31" s="60">
        <f t="shared" si="5"/>
        <v>0</v>
      </c>
      <c r="T31" s="60" t="str">
        <f t="shared" si="19"/>
        <v xml:space="preserve"> </v>
      </c>
      <c r="U31" s="60" t="str">
        <f t="shared" si="20"/>
        <v xml:space="preserve"> </v>
      </c>
      <c r="W31">
        <f t="shared" si="21"/>
        <v>480</v>
      </c>
      <c r="X31">
        <f t="shared" si="22"/>
        <v>0</v>
      </c>
      <c r="Y31">
        <f t="shared" si="23"/>
        <v>480</v>
      </c>
      <c r="AD31" s="158">
        <f t="shared" si="6"/>
        <v>8</v>
      </c>
      <c r="AE31" s="158">
        <f t="shared" si="7"/>
        <v>0</v>
      </c>
      <c r="AF31" s="64">
        <f t="shared" si="8"/>
        <v>8</v>
      </c>
      <c r="AG31" s="169">
        <f t="shared" si="9"/>
        <v>16</v>
      </c>
      <c r="AH31" s="169">
        <f t="shared" si="10"/>
        <v>0</v>
      </c>
      <c r="AI31" s="64">
        <f t="shared" si="11"/>
        <v>16</v>
      </c>
      <c r="AJ31" s="169">
        <f t="shared" si="12"/>
        <v>8</v>
      </c>
      <c r="AK31" s="169">
        <f t="shared" si="13"/>
        <v>0</v>
      </c>
      <c r="AL31" s="64">
        <f t="shared" si="14"/>
        <v>8</v>
      </c>
    </row>
    <row r="32" spans="1:38" ht="15.75" x14ac:dyDescent="0.25">
      <c r="A32" s="156">
        <f t="shared" si="24"/>
        <v>46164</v>
      </c>
      <c r="B32" s="2">
        <f t="shared" si="15"/>
        <v>84</v>
      </c>
      <c r="C32" s="54" t="str">
        <f t="shared" si="0"/>
        <v>22.5. piątek</v>
      </c>
      <c r="D32" s="159"/>
      <c r="E32" s="117" t="str">
        <f t="shared" si="16"/>
        <v xml:space="preserve"> </v>
      </c>
      <c r="F32" s="115">
        <v>8</v>
      </c>
      <c r="G32" s="115">
        <v>16</v>
      </c>
      <c r="H32" s="55">
        <f t="shared" si="1"/>
        <v>8</v>
      </c>
      <c r="I32" s="55">
        <f t="shared" si="2"/>
        <v>0</v>
      </c>
      <c r="J32" s="56">
        <f t="shared" si="3"/>
        <v>0</v>
      </c>
      <c r="K32" s="57">
        <f t="shared" si="25"/>
        <v>1</v>
      </c>
      <c r="L32" s="57">
        <f t="shared" si="17"/>
        <v>0</v>
      </c>
      <c r="M32" s="58" t="str">
        <f t="shared" si="4"/>
        <v>przerwa1</v>
      </c>
      <c r="N32" s="57">
        <f t="shared" si="18"/>
        <v>1</v>
      </c>
      <c r="O32" s="138"/>
      <c r="P32" s="149"/>
      <c r="Q32" s="138"/>
      <c r="R32" s="8"/>
      <c r="S32" s="60">
        <f t="shared" si="5"/>
        <v>0</v>
      </c>
      <c r="T32" s="60" t="str">
        <f t="shared" si="19"/>
        <v xml:space="preserve"> </v>
      </c>
      <c r="U32" s="60" t="str">
        <f t="shared" si="20"/>
        <v xml:space="preserve"> </v>
      </c>
      <c r="W32">
        <f t="shared" si="21"/>
        <v>480</v>
      </c>
      <c r="X32">
        <f t="shared" si="22"/>
        <v>0</v>
      </c>
      <c r="Y32">
        <f t="shared" si="23"/>
        <v>480</v>
      </c>
      <c r="AD32" s="158">
        <f t="shared" si="6"/>
        <v>0</v>
      </c>
      <c r="AE32" s="158">
        <f t="shared" si="7"/>
        <v>0</v>
      </c>
      <c r="AF32" s="64" t="str">
        <f t="shared" si="8"/>
        <v xml:space="preserve"> </v>
      </c>
      <c r="AG32" s="169">
        <f t="shared" si="9"/>
        <v>0</v>
      </c>
      <c r="AH32" s="169">
        <f t="shared" si="10"/>
        <v>0</v>
      </c>
      <c r="AI32" s="64" t="str">
        <f t="shared" si="11"/>
        <v xml:space="preserve"> </v>
      </c>
      <c r="AJ32" s="169" t="str">
        <f t="shared" si="12"/>
        <v/>
      </c>
      <c r="AK32" s="169" t="str">
        <f t="shared" si="13"/>
        <v/>
      </c>
      <c r="AL32" s="64" t="str">
        <f t="shared" si="14"/>
        <v xml:space="preserve"> </v>
      </c>
    </row>
    <row r="33" spans="1:38" ht="15.75" x14ac:dyDescent="0.25">
      <c r="A33" s="156">
        <f t="shared" si="24"/>
        <v>46165</v>
      </c>
      <c r="B33" s="2">
        <f t="shared" si="15"/>
        <v>84</v>
      </c>
      <c r="C33" s="54" t="str">
        <f t="shared" si="0"/>
        <v>23.5. sobota</v>
      </c>
      <c r="D33" s="159" t="s">
        <v>47</v>
      </c>
      <c r="E33" s="117" t="str">
        <f t="shared" si="16"/>
        <v>wolne</v>
      </c>
      <c r="F33" s="115"/>
      <c r="G33" s="115"/>
      <c r="H33" s="55" t="str">
        <f t="shared" si="1"/>
        <v/>
      </c>
      <c r="I33" s="55" t="str">
        <f t="shared" si="2"/>
        <v/>
      </c>
      <c r="J33" s="56" t="str">
        <f t="shared" si="3"/>
        <v/>
      </c>
      <c r="K33" s="57">
        <f t="shared" si="25"/>
        <v>0</v>
      </c>
      <c r="L33" s="57">
        <f t="shared" si="17"/>
        <v>0</v>
      </c>
      <c r="M33" s="58" t="str">
        <f t="shared" si="4"/>
        <v>przerwa1</v>
      </c>
      <c r="N33" s="57">
        <f t="shared" si="18"/>
        <v>0</v>
      </c>
      <c r="O33" s="138"/>
      <c r="P33" s="149"/>
      <c r="Q33" s="138"/>
      <c r="R33" s="8"/>
      <c r="S33" s="60" t="str">
        <f t="shared" si="5"/>
        <v xml:space="preserve"> </v>
      </c>
      <c r="T33" s="60" t="str">
        <f t="shared" si="19"/>
        <v xml:space="preserve"> </v>
      </c>
      <c r="U33" s="60" t="str">
        <f t="shared" si="20"/>
        <v xml:space="preserve"> </v>
      </c>
      <c r="W33">
        <f t="shared" si="21"/>
        <v>0</v>
      </c>
      <c r="X33">
        <f t="shared" si="22"/>
        <v>0</v>
      </c>
      <c r="Y33">
        <f t="shared" si="23"/>
        <v>0</v>
      </c>
      <c r="AD33" s="158">
        <f t="shared" si="6"/>
        <v>0</v>
      </c>
      <c r="AE33" s="158">
        <f t="shared" si="7"/>
        <v>0</v>
      </c>
      <c r="AF33" s="64" t="str">
        <f t="shared" si="8"/>
        <v xml:space="preserve"> </v>
      </c>
      <c r="AG33" s="169">
        <f t="shared" si="9"/>
        <v>0</v>
      </c>
      <c r="AH33" s="169">
        <f t="shared" si="10"/>
        <v>0</v>
      </c>
      <c r="AI33" s="64" t="str">
        <f t="shared" si="11"/>
        <v xml:space="preserve"> </v>
      </c>
      <c r="AJ33" s="169" t="str">
        <f t="shared" si="12"/>
        <v/>
      </c>
      <c r="AK33" s="169" t="str">
        <f t="shared" si="13"/>
        <v/>
      </c>
      <c r="AL33" s="64" t="str">
        <f t="shared" si="14"/>
        <v xml:space="preserve"> </v>
      </c>
    </row>
    <row r="34" spans="1:38" ht="15.75" x14ac:dyDescent="0.25">
      <c r="A34" s="156">
        <f t="shared" si="24"/>
        <v>46166</v>
      </c>
      <c r="B34" s="2">
        <f t="shared" si="15"/>
        <v>84</v>
      </c>
      <c r="C34" s="54" t="str">
        <f t="shared" si="0"/>
        <v>24.5. niedziela</v>
      </c>
      <c r="D34" s="159" t="s">
        <v>47</v>
      </c>
      <c r="E34" s="117" t="str">
        <f t="shared" si="16"/>
        <v>wolne</v>
      </c>
      <c r="F34" s="115"/>
      <c r="G34" s="115"/>
      <c r="H34" s="55" t="str">
        <f t="shared" si="1"/>
        <v/>
      </c>
      <c r="I34" s="55" t="str">
        <f t="shared" si="2"/>
        <v/>
      </c>
      <c r="J34" s="56" t="str">
        <f t="shared" si="3"/>
        <v/>
      </c>
      <c r="K34" s="57">
        <f t="shared" si="25"/>
        <v>0</v>
      </c>
      <c r="L34" s="57">
        <f t="shared" si="17"/>
        <v>0</v>
      </c>
      <c r="M34" s="58" t="str">
        <f t="shared" si="4"/>
        <v>przerwa1</v>
      </c>
      <c r="N34" s="57">
        <f t="shared" si="18"/>
        <v>0</v>
      </c>
      <c r="O34" s="138"/>
      <c r="P34" s="149"/>
      <c r="Q34" s="138"/>
      <c r="R34" s="8"/>
      <c r="S34" s="60" t="str">
        <f t="shared" si="5"/>
        <v xml:space="preserve"> </v>
      </c>
      <c r="T34" s="60" t="str">
        <f t="shared" si="19"/>
        <v xml:space="preserve"> </v>
      </c>
      <c r="U34" s="60" t="str">
        <f t="shared" si="20"/>
        <v xml:space="preserve"> </v>
      </c>
      <c r="W34">
        <f t="shared" si="21"/>
        <v>0</v>
      </c>
      <c r="X34">
        <f t="shared" si="22"/>
        <v>0</v>
      </c>
      <c r="Y34">
        <f t="shared" si="23"/>
        <v>0</v>
      </c>
      <c r="AD34" s="158">
        <f t="shared" si="6"/>
        <v>8</v>
      </c>
      <c r="AE34" s="158">
        <f t="shared" si="7"/>
        <v>0</v>
      </c>
      <c r="AF34" s="64">
        <f t="shared" si="8"/>
        <v>8</v>
      </c>
      <c r="AG34" s="169">
        <f t="shared" si="9"/>
        <v>16</v>
      </c>
      <c r="AH34" s="169">
        <f t="shared" si="10"/>
        <v>0</v>
      </c>
      <c r="AI34" s="64">
        <f t="shared" si="11"/>
        <v>16</v>
      </c>
      <c r="AJ34" s="169">
        <f t="shared" si="12"/>
        <v>8</v>
      </c>
      <c r="AK34" s="169">
        <f t="shared" si="13"/>
        <v>0</v>
      </c>
      <c r="AL34" s="64">
        <f t="shared" si="14"/>
        <v>8</v>
      </c>
    </row>
    <row r="35" spans="1:38" ht="15.75" x14ac:dyDescent="0.25">
      <c r="A35" s="156">
        <f t="shared" si="24"/>
        <v>46167</v>
      </c>
      <c r="B35" s="2">
        <f t="shared" si="15"/>
        <v>84</v>
      </c>
      <c r="C35" s="54" t="str">
        <f t="shared" si="0"/>
        <v>25.5. poniedziałek</v>
      </c>
      <c r="D35" s="159"/>
      <c r="E35" s="117" t="str">
        <f t="shared" si="16"/>
        <v xml:space="preserve"> </v>
      </c>
      <c r="F35" s="115">
        <v>8</v>
      </c>
      <c r="G35" s="115">
        <v>16</v>
      </c>
      <c r="H35" s="55">
        <f t="shared" si="1"/>
        <v>8</v>
      </c>
      <c r="I35" s="55">
        <f t="shared" si="2"/>
        <v>0</v>
      </c>
      <c r="J35" s="56">
        <f t="shared" si="3"/>
        <v>0</v>
      </c>
      <c r="K35" s="57">
        <f t="shared" si="25"/>
        <v>1</v>
      </c>
      <c r="L35" s="57">
        <f t="shared" si="17"/>
        <v>0</v>
      </c>
      <c r="M35" s="58" t="str">
        <f t="shared" si="4"/>
        <v>przerwa1</v>
      </c>
      <c r="N35" s="57">
        <f t="shared" si="18"/>
        <v>1</v>
      </c>
      <c r="O35" s="138"/>
      <c r="P35" s="149"/>
      <c r="Q35" s="138"/>
      <c r="R35" s="8"/>
      <c r="S35" s="60">
        <f t="shared" si="5"/>
        <v>0</v>
      </c>
      <c r="T35" s="60" t="str">
        <f t="shared" si="19"/>
        <v xml:space="preserve"> </v>
      </c>
      <c r="U35" s="60" t="str">
        <f t="shared" si="20"/>
        <v xml:space="preserve"> </v>
      </c>
      <c r="W35">
        <f t="shared" si="21"/>
        <v>480</v>
      </c>
      <c r="X35">
        <f t="shared" si="22"/>
        <v>0</v>
      </c>
      <c r="Y35">
        <f t="shared" si="23"/>
        <v>480</v>
      </c>
      <c r="AD35" s="158">
        <f t="shared" si="6"/>
        <v>8</v>
      </c>
      <c r="AE35" s="158">
        <f t="shared" si="7"/>
        <v>0</v>
      </c>
      <c r="AF35" s="64">
        <f t="shared" si="8"/>
        <v>8</v>
      </c>
      <c r="AG35" s="169">
        <f t="shared" si="9"/>
        <v>16</v>
      </c>
      <c r="AH35" s="169">
        <f t="shared" si="10"/>
        <v>0</v>
      </c>
      <c r="AI35" s="64">
        <f t="shared" si="11"/>
        <v>16</v>
      </c>
      <c r="AJ35" s="169">
        <f t="shared" si="12"/>
        <v>8</v>
      </c>
      <c r="AK35" s="169">
        <f t="shared" si="13"/>
        <v>0</v>
      </c>
      <c r="AL35" s="64">
        <f t="shared" si="14"/>
        <v>8</v>
      </c>
    </row>
    <row r="36" spans="1:38" ht="15.75" x14ac:dyDescent="0.25">
      <c r="A36" s="156">
        <f t="shared" si="24"/>
        <v>46168</v>
      </c>
      <c r="B36" s="2">
        <f t="shared" si="15"/>
        <v>84</v>
      </c>
      <c r="C36" s="54" t="str">
        <f t="shared" si="0"/>
        <v>26.5. wtorek</v>
      </c>
      <c r="D36" s="159"/>
      <c r="E36" s="117" t="str">
        <f t="shared" si="16"/>
        <v xml:space="preserve"> </v>
      </c>
      <c r="F36" s="115">
        <v>8</v>
      </c>
      <c r="G36" s="115">
        <v>16</v>
      </c>
      <c r="H36" s="55">
        <f t="shared" si="1"/>
        <v>8</v>
      </c>
      <c r="I36" s="55">
        <f t="shared" si="2"/>
        <v>0</v>
      </c>
      <c r="J36" s="56">
        <f t="shared" si="3"/>
        <v>0</v>
      </c>
      <c r="K36" s="57">
        <f t="shared" si="25"/>
        <v>1</v>
      </c>
      <c r="L36" s="57">
        <f t="shared" si="17"/>
        <v>0</v>
      </c>
      <c r="M36" s="58" t="str">
        <f t="shared" si="4"/>
        <v>przerwa1</v>
      </c>
      <c r="N36" s="57">
        <f t="shared" si="18"/>
        <v>1</v>
      </c>
      <c r="O36" s="138"/>
      <c r="P36" s="149"/>
      <c r="Q36" s="138"/>
      <c r="R36" s="8"/>
      <c r="S36" s="60">
        <f t="shared" si="5"/>
        <v>0</v>
      </c>
      <c r="T36" s="60" t="str">
        <f t="shared" si="19"/>
        <v xml:space="preserve"> </v>
      </c>
      <c r="U36" s="60" t="str">
        <f t="shared" si="20"/>
        <v xml:space="preserve"> </v>
      </c>
      <c r="W36">
        <f t="shared" si="21"/>
        <v>480</v>
      </c>
      <c r="X36">
        <f t="shared" si="22"/>
        <v>0</v>
      </c>
      <c r="Y36">
        <f t="shared" si="23"/>
        <v>480</v>
      </c>
      <c r="AD36" s="158">
        <f t="shared" si="6"/>
        <v>8</v>
      </c>
      <c r="AE36" s="158">
        <f t="shared" si="7"/>
        <v>0</v>
      </c>
      <c r="AF36" s="64">
        <f t="shared" si="8"/>
        <v>8</v>
      </c>
      <c r="AG36" s="169">
        <f t="shared" si="9"/>
        <v>16</v>
      </c>
      <c r="AH36" s="169">
        <f t="shared" si="10"/>
        <v>0</v>
      </c>
      <c r="AI36" s="64">
        <f t="shared" si="11"/>
        <v>16</v>
      </c>
      <c r="AJ36" s="169">
        <f t="shared" si="12"/>
        <v>8</v>
      </c>
      <c r="AK36" s="169">
        <f t="shared" si="13"/>
        <v>0</v>
      </c>
      <c r="AL36" s="64">
        <f t="shared" si="14"/>
        <v>8</v>
      </c>
    </row>
    <row r="37" spans="1:38" ht="15.75" x14ac:dyDescent="0.25">
      <c r="A37" s="156">
        <f t="shared" si="24"/>
        <v>46169</v>
      </c>
      <c r="B37" s="2">
        <f t="shared" si="15"/>
        <v>84</v>
      </c>
      <c r="C37" s="54" t="str">
        <f t="shared" si="0"/>
        <v>27.5. środa</v>
      </c>
      <c r="D37" s="159"/>
      <c r="E37" s="117" t="str">
        <f t="shared" si="16"/>
        <v xml:space="preserve"> </v>
      </c>
      <c r="F37" s="115">
        <v>8</v>
      </c>
      <c r="G37" s="115">
        <v>16</v>
      </c>
      <c r="H37" s="55">
        <f t="shared" si="1"/>
        <v>8</v>
      </c>
      <c r="I37" s="55">
        <f t="shared" si="2"/>
        <v>0</v>
      </c>
      <c r="J37" s="56">
        <f t="shared" si="3"/>
        <v>0</v>
      </c>
      <c r="K37" s="57">
        <f t="shared" si="25"/>
        <v>1</v>
      </c>
      <c r="L37" s="57">
        <f t="shared" si="17"/>
        <v>0</v>
      </c>
      <c r="M37" s="58" t="str">
        <f t="shared" si="4"/>
        <v>przerwa1</v>
      </c>
      <c r="N37" s="57">
        <f t="shared" si="18"/>
        <v>1</v>
      </c>
      <c r="O37" s="138"/>
      <c r="P37" s="149"/>
      <c r="Q37" s="138"/>
      <c r="R37" s="8"/>
      <c r="S37" s="60">
        <f t="shared" si="5"/>
        <v>0</v>
      </c>
      <c r="T37" s="60" t="str">
        <f t="shared" si="19"/>
        <v xml:space="preserve"> </v>
      </c>
      <c r="U37" s="60" t="str">
        <f t="shared" si="20"/>
        <v xml:space="preserve"> </v>
      </c>
      <c r="W37">
        <f t="shared" si="21"/>
        <v>480</v>
      </c>
      <c r="X37">
        <f t="shared" si="22"/>
        <v>0</v>
      </c>
      <c r="Y37">
        <f t="shared" si="23"/>
        <v>480</v>
      </c>
      <c r="AD37" s="158">
        <f t="shared" si="6"/>
        <v>8</v>
      </c>
      <c r="AE37" s="158">
        <f t="shared" si="7"/>
        <v>0</v>
      </c>
      <c r="AF37" s="64">
        <f t="shared" si="8"/>
        <v>8</v>
      </c>
      <c r="AG37" s="169">
        <f t="shared" si="9"/>
        <v>16</v>
      </c>
      <c r="AH37" s="169">
        <f t="shared" si="10"/>
        <v>0</v>
      </c>
      <c r="AI37" s="64">
        <f t="shared" si="11"/>
        <v>16</v>
      </c>
      <c r="AJ37" s="169">
        <f t="shared" si="12"/>
        <v>8</v>
      </c>
      <c r="AK37" s="169">
        <f t="shared" si="13"/>
        <v>0</v>
      </c>
      <c r="AL37" s="64">
        <f t="shared" si="14"/>
        <v>8</v>
      </c>
    </row>
    <row r="38" spans="1:38" ht="15.75" x14ac:dyDescent="0.25">
      <c r="A38" s="156">
        <f t="shared" si="24"/>
        <v>46170</v>
      </c>
      <c r="B38" s="2">
        <f t="shared" si="15"/>
        <v>84</v>
      </c>
      <c r="C38" s="54" t="str">
        <f t="shared" si="0"/>
        <v>28.5. czwartek</v>
      </c>
      <c r="D38" s="159"/>
      <c r="E38" s="117" t="str">
        <f t="shared" si="16"/>
        <v xml:space="preserve"> </v>
      </c>
      <c r="F38" s="115">
        <v>8</v>
      </c>
      <c r="G38" s="115">
        <v>16</v>
      </c>
      <c r="H38" s="55">
        <f t="shared" si="1"/>
        <v>8</v>
      </c>
      <c r="I38" s="55">
        <f t="shared" si="2"/>
        <v>0</v>
      </c>
      <c r="J38" s="56">
        <f t="shared" si="3"/>
        <v>0</v>
      </c>
      <c r="K38" s="57">
        <f t="shared" si="25"/>
        <v>1</v>
      </c>
      <c r="L38" s="57">
        <f t="shared" si="17"/>
        <v>0</v>
      </c>
      <c r="M38" s="58" t="str">
        <f t="shared" si="4"/>
        <v>przerwa1</v>
      </c>
      <c r="N38" s="57">
        <f t="shared" si="18"/>
        <v>1</v>
      </c>
      <c r="O38" s="138"/>
      <c r="P38" s="149"/>
      <c r="Q38" s="138"/>
      <c r="R38" s="8"/>
      <c r="S38" s="60">
        <f t="shared" si="5"/>
        <v>0</v>
      </c>
      <c r="T38" s="60" t="str">
        <f t="shared" si="19"/>
        <v xml:space="preserve"> </v>
      </c>
      <c r="U38" s="60" t="str">
        <f t="shared" si="20"/>
        <v xml:space="preserve"> </v>
      </c>
      <c r="W38">
        <f t="shared" si="21"/>
        <v>480</v>
      </c>
      <c r="X38">
        <f t="shared" si="22"/>
        <v>0</v>
      </c>
      <c r="Y38">
        <f t="shared" si="23"/>
        <v>480</v>
      </c>
      <c r="AD38" s="158">
        <f t="shared" si="6"/>
        <v>8</v>
      </c>
      <c r="AE38" s="158">
        <f t="shared" si="7"/>
        <v>0</v>
      </c>
      <c r="AF38" s="64">
        <f t="shared" si="8"/>
        <v>8</v>
      </c>
      <c r="AG38" s="169">
        <f t="shared" si="9"/>
        <v>16</v>
      </c>
      <c r="AH38" s="169">
        <f t="shared" si="10"/>
        <v>0</v>
      </c>
      <c r="AI38" s="64">
        <f t="shared" si="11"/>
        <v>16</v>
      </c>
      <c r="AJ38" s="169">
        <f t="shared" si="12"/>
        <v>8</v>
      </c>
      <c r="AK38" s="169">
        <f t="shared" si="13"/>
        <v>0</v>
      </c>
      <c r="AL38" s="64">
        <f t="shared" si="14"/>
        <v>8</v>
      </c>
    </row>
    <row r="39" spans="1:38" ht="15.75" x14ac:dyDescent="0.25">
      <c r="A39" s="156">
        <f t="shared" si="24"/>
        <v>46171</v>
      </c>
      <c r="B39" s="2">
        <f t="shared" si="15"/>
        <v>84</v>
      </c>
      <c r="C39" s="54" t="str">
        <f t="shared" si="0"/>
        <v>29.5. piątek</v>
      </c>
      <c r="D39" s="159"/>
      <c r="E39" s="117" t="str">
        <f t="shared" si="16"/>
        <v xml:space="preserve"> </v>
      </c>
      <c r="F39" s="115">
        <v>8</v>
      </c>
      <c r="G39" s="115">
        <v>16</v>
      </c>
      <c r="H39" s="55">
        <f t="shared" si="1"/>
        <v>8</v>
      </c>
      <c r="I39" s="55">
        <f t="shared" si="2"/>
        <v>0</v>
      </c>
      <c r="J39" s="56">
        <f t="shared" si="3"/>
        <v>0</v>
      </c>
      <c r="K39" s="57">
        <f t="shared" si="25"/>
        <v>1</v>
      </c>
      <c r="L39" s="57">
        <f t="shared" si="17"/>
        <v>0</v>
      </c>
      <c r="M39" s="58" t="str">
        <f t="shared" si="4"/>
        <v>przerwa1</v>
      </c>
      <c r="N39" s="57">
        <f t="shared" si="18"/>
        <v>1</v>
      </c>
      <c r="O39" s="138"/>
      <c r="P39" s="149"/>
      <c r="Q39" s="138"/>
      <c r="R39" s="8"/>
      <c r="S39" s="60">
        <f t="shared" si="5"/>
        <v>0</v>
      </c>
      <c r="T39" s="60" t="str">
        <f t="shared" si="19"/>
        <v xml:space="preserve"> </v>
      </c>
      <c r="U39" s="60" t="str">
        <f t="shared" si="20"/>
        <v xml:space="preserve"> </v>
      </c>
      <c r="W39">
        <f t="shared" si="21"/>
        <v>480</v>
      </c>
      <c r="X39">
        <f t="shared" si="22"/>
        <v>0</v>
      </c>
      <c r="Y39">
        <f t="shared" si="23"/>
        <v>480</v>
      </c>
      <c r="AD39" s="158">
        <f t="shared" si="6"/>
        <v>0</v>
      </c>
      <c r="AE39" s="158">
        <f t="shared" si="7"/>
        <v>0</v>
      </c>
      <c r="AF39" s="64" t="str">
        <f t="shared" si="8"/>
        <v xml:space="preserve"> </v>
      </c>
      <c r="AG39" s="169">
        <f t="shared" si="9"/>
        <v>0</v>
      </c>
      <c r="AH39" s="169">
        <f t="shared" si="10"/>
        <v>0</v>
      </c>
      <c r="AI39" s="64" t="str">
        <f t="shared" si="11"/>
        <v xml:space="preserve"> </v>
      </c>
      <c r="AJ39" s="169" t="str">
        <f t="shared" si="12"/>
        <v/>
      </c>
      <c r="AK39" s="169" t="str">
        <f t="shared" si="13"/>
        <v/>
      </c>
      <c r="AL39" s="64" t="str">
        <f t="shared" si="14"/>
        <v xml:space="preserve"> </v>
      </c>
    </row>
    <row r="40" spans="1:38" ht="15.75" x14ac:dyDescent="0.25">
      <c r="A40" s="156">
        <f t="shared" si="24"/>
        <v>46172</v>
      </c>
      <c r="B40" s="2">
        <f t="shared" si="15"/>
        <v>84</v>
      </c>
      <c r="C40" s="54" t="str">
        <f t="shared" si="0"/>
        <v>30.5. sobota</v>
      </c>
      <c r="D40" s="159" t="s">
        <v>47</v>
      </c>
      <c r="E40" s="117" t="str">
        <f t="shared" si="16"/>
        <v>wolne</v>
      </c>
      <c r="F40" s="115"/>
      <c r="G40" s="115"/>
      <c r="H40" s="55" t="str">
        <f t="shared" si="1"/>
        <v/>
      </c>
      <c r="I40" s="55" t="str">
        <f t="shared" si="2"/>
        <v/>
      </c>
      <c r="J40" s="56" t="str">
        <f t="shared" si="3"/>
        <v/>
      </c>
      <c r="K40" s="57">
        <f t="shared" si="25"/>
        <v>0</v>
      </c>
      <c r="L40" s="57">
        <f t="shared" si="17"/>
        <v>0</v>
      </c>
      <c r="M40" s="58" t="str">
        <f t="shared" si="4"/>
        <v>przerwa1</v>
      </c>
      <c r="N40" s="57">
        <f t="shared" si="18"/>
        <v>0</v>
      </c>
      <c r="O40" s="138"/>
      <c r="P40" s="149"/>
      <c r="Q40" s="138"/>
      <c r="R40" s="8"/>
      <c r="S40" s="60" t="str">
        <f t="shared" si="5"/>
        <v xml:space="preserve"> </v>
      </c>
      <c r="T40" s="60" t="str">
        <f t="shared" si="19"/>
        <v xml:space="preserve"> </v>
      </c>
      <c r="U40" s="60" t="str">
        <f t="shared" si="20"/>
        <v xml:space="preserve"> </v>
      </c>
      <c r="W40">
        <f t="shared" si="21"/>
        <v>0</v>
      </c>
      <c r="X40">
        <f t="shared" si="22"/>
        <v>0</v>
      </c>
      <c r="Y40">
        <f t="shared" si="23"/>
        <v>0</v>
      </c>
      <c r="AD40" s="158">
        <f t="shared" si="6"/>
        <v>0</v>
      </c>
      <c r="AE40" s="158">
        <f t="shared" si="7"/>
        <v>0</v>
      </c>
      <c r="AF40" s="64" t="str">
        <f t="shared" si="8"/>
        <v xml:space="preserve"> </v>
      </c>
      <c r="AG40" s="169">
        <f t="shared" si="9"/>
        <v>0</v>
      </c>
      <c r="AH40" s="169">
        <f t="shared" si="10"/>
        <v>0</v>
      </c>
      <c r="AI40" s="64" t="str">
        <f t="shared" si="11"/>
        <v xml:space="preserve"> </v>
      </c>
      <c r="AJ40" s="169" t="str">
        <f t="shared" si="12"/>
        <v/>
      </c>
      <c r="AK40" s="169" t="str">
        <f t="shared" si="13"/>
        <v/>
      </c>
      <c r="AL40" s="64" t="str">
        <f t="shared" si="14"/>
        <v xml:space="preserve"> </v>
      </c>
    </row>
    <row r="41" spans="1:38" ht="15.75" x14ac:dyDescent="0.25">
      <c r="A41" s="156">
        <f t="shared" si="24"/>
        <v>46173</v>
      </c>
      <c r="B41" s="2">
        <f t="shared" si="15"/>
        <v>84</v>
      </c>
      <c r="C41" s="54" t="str">
        <f t="shared" si="0"/>
        <v>31.5. niedziela</v>
      </c>
      <c r="D41" s="159" t="s">
        <v>47</v>
      </c>
      <c r="E41" s="117" t="str">
        <f t="shared" si="16"/>
        <v>wolne</v>
      </c>
      <c r="F41" s="115"/>
      <c r="G41" s="115"/>
      <c r="H41" s="55" t="str">
        <f t="shared" si="1"/>
        <v/>
      </c>
      <c r="I41" s="55" t="str">
        <f t="shared" si="2"/>
        <v/>
      </c>
      <c r="J41" s="56" t="str">
        <f t="shared" si="3"/>
        <v/>
      </c>
      <c r="K41" s="57">
        <f t="shared" si="25"/>
        <v>0</v>
      </c>
      <c r="L41" s="57">
        <f t="shared" si="17"/>
        <v>0</v>
      </c>
      <c r="M41" s="58" t="str">
        <f t="shared" si="4"/>
        <v>przerwa1</v>
      </c>
      <c r="N41" s="57">
        <f t="shared" si="18"/>
        <v>0</v>
      </c>
      <c r="O41" s="138"/>
      <c r="P41" s="149"/>
      <c r="Q41" s="138"/>
      <c r="R41" s="8"/>
      <c r="S41" s="60" t="str">
        <f t="shared" si="5"/>
        <v xml:space="preserve"> </v>
      </c>
      <c r="T41" s="60" t="str">
        <f t="shared" si="19"/>
        <v xml:space="preserve"> </v>
      </c>
      <c r="U41" s="60" t="str">
        <f t="shared" si="20"/>
        <v xml:space="preserve"> </v>
      </c>
      <c r="W41">
        <f t="shared" si="21"/>
        <v>0</v>
      </c>
      <c r="X41">
        <f t="shared" si="22"/>
        <v>0</v>
      </c>
      <c r="Y41">
        <f t="shared" si="23"/>
        <v>0</v>
      </c>
      <c r="AD41" s="158">
        <f t="shared" si="6"/>
        <v>0</v>
      </c>
      <c r="AE41" s="158">
        <f t="shared" si="7"/>
        <v>0</v>
      </c>
      <c r="AF41" s="64" t="str">
        <f t="shared" si="8"/>
        <v xml:space="preserve"> </v>
      </c>
      <c r="AG41" s="169">
        <f t="shared" si="9"/>
        <v>0</v>
      </c>
      <c r="AH41" s="169">
        <f t="shared" si="10"/>
        <v>0</v>
      </c>
      <c r="AI41" s="64" t="str">
        <f t="shared" si="11"/>
        <v xml:space="preserve"> </v>
      </c>
      <c r="AJ41" s="169" t="str">
        <f t="shared" si="12"/>
        <v/>
      </c>
      <c r="AK41" s="169" t="str">
        <f t="shared" si="13"/>
        <v/>
      </c>
      <c r="AL41" s="64" t="str">
        <f t="shared" si="14"/>
        <v xml:space="preserve"> </v>
      </c>
    </row>
    <row r="42" spans="1:38" ht="15.75" x14ac:dyDescent="0.25">
      <c r="A42" s="1"/>
      <c r="B42" s="1"/>
      <c r="C42" s="62"/>
      <c r="D42" s="116"/>
      <c r="E42" s="117"/>
      <c r="F42" s="116"/>
      <c r="G42" s="116"/>
      <c r="H42" s="55"/>
      <c r="I42" s="59"/>
      <c r="J42" s="59"/>
      <c r="K42" s="57">
        <f t="shared" si="25"/>
        <v>1</v>
      </c>
      <c r="L42" s="57">
        <f>IF(OR((D42="c"),(D42="u")),1,0)</f>
        <v>0</v>
      </c>
      <c r="M42" s="63"/>
      <c r="N42" s="57">
        <f>IF(OR((B42=83),(D42="w"),(D42="g"),(D42="c"),(D42="u")),0,1)</f>
        <v>1</v>
      </c>
      <c r="O42" s="64">
        <f>TRUNC(SUM(O11:O41)/60)+((SUM(O11:O41)/60)-(TRUNC(SUM(O11:O41)/60)))*60/100</f>
        <v>0</v>
      </c>
      <c r="P42" t="s">
        <v>132</v>
      </c>
      <c r="Q42" s="8"/>
      <c r="R42" s="8"/>
      <c r="S42" s="65">
        <f>SUM(S11:S41)</f>
        <v>0</v>
      </c>
      <c r="T42" s="66">
        <f>SUM(T11:T41)</f>
        <v>0</v>
      </c>
      <c r="U42" s="66">
        <f>SUM(U11:U41)</f>
        <v>0</v>
      </c>
    </row>
    <row r="43" spans="1:38" x14ac:dyDescent="0.25">
      <c r="A43" s="1"/>
      <c r="B43" s="1"/>
      <c r="C43" s="67"/>
      <c r="D43" s="21"/>
      <c r="E43" s="21"/>
      <c r="F43" s="21"/>
      <c r="G43" s="21"/>
      <c r="H43" s="21"/>
      <c r="I43" s="68"/>
      <c r="J43" s="68"/>
      <c r="K43" s="69"/>
      <c r="L43" s="69"/>
      <c r="M43" s="69"/>
      <c r="N43" s="70"/>
      <c r="O43" s="144"/>
      <c r="P43" s="8"/>
      <c r="Q43" s="8"/>
      <c r="R43" s="8"/>
      <c r="S43" s="71">
        <f>S42/60</f>
        <v>0</v>
      </c>
      <c r="T43" s="66"/>
      <c r="U43" s="8"/>
    </row>
    <row r="44" spans="1:38" ht="15" customHeight="1" x14ac:dyDescent="0.25">
      <c r="A44" s="1"/>
      <c r="B44" s="1"/>
      <c r="C44" s="67" t="s">
        <v>30</v>
      </c>
      <c r="D44" s="21"/>
      <c r="E44" s="72">
        <f>SUM(K11:K41)</f>
        <v>20</v>
      </c>
      <c r="F44" s="21" t="s">
        <v>31</v>
      </c>
      <c r="G44" s="21"/>
      <c r="H44" s="21"/>
      <c r="I44" s="73" t="s">
        <v>32</v>
      </c>
      <c r="J44" s="72">
        <f>SUM(N11:N41)</f>
        <v>20</v>
      </c>
      <c r="K44" s="74" t="s">
        <v>31</v>
      </c>
      <c r="L44" s="74"/>
      <c r="M44" s="74"/>
      <c r="N44" s="30"/>
      <c r="O44" s="141" t="s">
        <v>31</v>
      </c>
      <c r="P44" s="8"/>
      <c r="W44">
        <f>((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60)</f>
        <v>9600</v>
      </c>
      <c r="X44">
        <f>(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-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100)</f>
        <v>0</v>
      </c>
      <c r="Y44">
        <f>((TRUNC(O42)*60)+(O42-TRUNC(O42))*100)</f>
        <v>0</v>
      </c>
      <c r="Z44">
        <f>W44+X44+Y44</f>
        <v>9600</v>
      </c>
      <c r="AA44">
        <f>Z44/60</f>
        <v>160</v>
      </c>
      <c r="AB44">
        <f>TRUNC(AA44)</f>
        <v>160</v>
      </c>
      <c r="AC44">
        <f>(AA44-AB44)*60/100</f>
        <v>0</v>
      </c>
      <c r="AD44">
        <f>AB44+AC44</f>
        <v>160</v>
      </c>
    </row>
    <row r="45" spans="1:38" x14ac:dyDescent="0.25">
      <c r="A45" s="1"/>
      <c r="B45" s="1"/>
      <c r="C45" s="75" t="s">
        <v>33</v>
      </c>
      <c r="D45" s="21"/>
      <c r="E45" s="76">
        <f>ROUND(SUM(K11:K41)*godz,2)</f>
        <v>160</v>
      </c>
      <c r="F45" s="21" t="s">
        <v>34</v>
      </c>
      <c r="G45" s="21"/>
      <c r="H45" s="21"/>
      <c r="I45" s="73" t="s">
        <v>35</v>
      </c>
      <c r="J45" s="76">
        <f>AB44+AC44</f>
        <v>160</v>
      </c>
      <c r="K45" s="74" t="s">
        <v>34</v>
      </c>
      <c r="L45" s="74"/>
      <c r="M45" s="74"/>
      <c r="N45" s="30"/>
      <c r="O45" s="141" t="s">
        <v>34</v>
      </c>
      <c r="P45" s="8"/>
    </row>
    <row r="46" spans="1:38" x14ac:dyDescent="0.25">
      <c r="A46" s="1"/>
      <c r="B46" s="1"/>
      <c r="C46" s="67"/>
      <c r="D46" s="21"/>
      <c r="E46" s="76"/>
      <c r="F46" s="21"/>
      <c r="G46" s="21"/>
      <c r="H46" s="21"/>
      <c r="I46" s="73"/>
      <c r="J46" s="76"/>
      <c r="K46" s="74"/>
      <c r="L46" s="74"/>
      <c r="M46" s="74"/>
      <c r="N46" s="30"/>
      <c r="O46" s="141"/>
      <c r="P46" s="8"/>
    </row>
    <row r="47" spans="1:38" x14ac:dyDescent="0.25">
      <c r="A47" s="1"/>
      <c r="B47" s="1"/>
      <c r="C47" s="67"/>
      <c r="D47" s="21"/>
      <c r="E47" s="76"/>
      <c r="F47" s="21"/>
      <c r="G47" s="21"/>
      <c r="H47" s="21"/>
      <c r="I47" s="73" t="s">
        <v>36</v>
      </c>
      <c r="J47" s="72">
        <f>SUM(L11:L41)</f>
        <v>0</v>
      </c>
      <c r="K47" s="74" t="s">
        <v>37</v>
      </c>
      <c r="L47" s="74"/>
      <c r="M47" s="74"/>
      <c r="N47" s="30"/>
      <c r="O47" s="141" t="s">
        <v>37</v>
      </c>
      <c r="P47" s="8"/>
    </row>
    <row r="48" spans="1:38" x14ac:dyDescent="0.25">
      <c r="A48" s="1"/>
      <c r="B48" s="1"/>
      <c r="C48" s="67"/>
      <c r="D48" s="21"/>
      <c r="E48" s="21"/>
      <c r="F48" s="21"/>
      <c r="G48" s="21"/>
      <c r="H48" s="21"/>
      <c r="I48" s="73" t="s">
        <v>147</v>
      </c>
      <c r="J48" s="162"/>
      <c r="K48" s="78"/>
      <c r="L48" s="78"/>
      <c r="M48" s="78"/>
      <c r="N48" s="79"/>
      <c r="O48" s="141"/>
      <c r="P48" s="8"/>
    </row>
    <row r="49" spans="3:16" x14ac:dyDescent="0.25">
      <c r="C49" s="80" t="s">
        <v>61</v>
      </c>
      <c r="D49" s="21"/>
      <c r="E49" s="76">
        <f>TRUNC((((TRUNC(J45)*60)+(J45-TRUNC(J45))*100)-E45*60)/60)+((((((TRUNC(J45)*60)+(J45-TRUNC(J45))*100)-E45*60)/60)-TRUNC((((TRUNC(J45)*60)+(J45-TRUNC(J45))*100)-E45*60)/60))*60/100)</f>
        <v>0</v>
      </c>
      <c r="F49" s="21" t="s">
        <v>34</v>
      </c>
      <c r="G49" s="8"/>
      <c r="H49" s="73"/>
      <c r="I49" s="73" t="s">
        <v>148</v>
      </c>
      <c r="J49" s="76">
        <f>TRUNC((((ROUND(J47*godz,2))*60)-(TRUNC(J48)*60+(J48-TRUNC(J48))*100))/60)+((((((ROUND(J47*godz,2))*60)-(TRUNC(J48)*60+(J48-TRUNC(J48))*100))/60)-TRUNC((((ROUND(J47*godz,2))*60)-(TRUNC(J48)*60+(J48-TRUNC(J48))*100))/60))*60/100)</f>
        <v>0</v>
      </c>
      <c r="K49" s="77"/>
      <c r="L49" s="21"/>
      <c r="M49" s="21"/>
      <c r="N49" s="30"/>
      <c r="O49" s="142"/>
      <c r="P49" s="21"/>
    </row>
    <row r="50" spans="3:16" ht="15.75" customHeight="1" thickBot="1" x14ac:dyDescent="0.3">
      <c r="C50" s="163" t="s">
        <v>38</v>
      </c>
      <c r="D50" s="164"/>
      <c r="E50" s="165">
        <f>J49</f>
        <v>0</v>
      </c>
      <c r="F50" s="164" t="s">
        <v>34</v>
      </c>
      <c r="G50" s="82"/>
      <c r="H50" s="21"/>
      <c r="I50" s="83"/>
      <c r="J50" s="83"/>
      <c r="K50" s="21"/>
      <c r="L50" s="21"/>
      <c r="M50" s="21"/>
      <c r="N50" s="30"/>
      <c r="O50" s="30"/>
      <c r="P50" s="8"/>
    </row>
    <row r="51" spans="3:16" ht="15.75" thickBot="1" x14ac:dyDescent="0.3">
      <c r="C51" s="166" t="s">
        <v>134</v>
      </c>
      <c r="D51" s="164"/>
      <c r="E51" s="165">
        <f>TRUNC(((TRUNC(J45)*60+(J45-TRUNC(J45))*100)+(TRUNC(J49)*60+(J49-TRUNC(J49))*100))/60)+((((TRUNC(J45)*60+(J45-TRUNC(J45))*100)+(TRUNC(J49)*60+(J49-TRUNC(J49))*100))/60)-TRUNC(((TRUNC(J45)*60+(J45-TRUNC(J45))*100)+(TRUNC(J49)*60+(J49-TRUNC(J49))*100))/60))*60/100</f>
        <v>160</v>
      </c>
      <c r="F51" s="164" t="s">
        <v>34</v>
      </c>
      <c r="G51" s="21"/>
      <c r="H51" s="21"/>
      <c r="I51" s="83" t="s">
        <v>39</v>
      </c>
      <c r="J51" s="84">
        <f>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+(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-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)*60/100)</f>
        <v>0</v>
      </c>
      <c r="K51" s="83" t="s">
        <v>34</v>
      </c>
      <c r="L51" s="83"/>
      <c r="M51" s="85"/>
      <c r="N51" s="30"/>
      <c r="O51" s="143" t="s">
        <v>34</v>
      </c>
      <c r="P51" s="8"/>
    </row>
    <row r="52" spans="3:16" ht="15.75" thickBot="1" x14ac:dyDescent="0.3">
      <c r="C52" s="86"/>
      <c r="D52" s="87"/>
      <c r="E52" s="88" t="s">
        <v>40</v>
      </c>
      <c r="F52" s="89"/>
      <c r="G52" s="87"/>
      <c r="H52" s="87"/>
      <c r="I52" s="88" t="s">
        <v>40</v>
      </c>
      <c r="J52" s="88" t="s">
        <v>41</v>
      </c>
      <c r="K52" s="87"/>
      <c r="L52" s="87"/>
      <c r="M52" s="87"/>
      <c r="N52" s="90"/>
      <c r="O52" s="90"/>
      <c r="P52" s="8"/>
    </row>
    <row r="53" spans="3:16" x14ac:dyDescent="0.25">
      <c r="C53" s="91" t="s">
        <v>52</v>
      </c>
      <c r="D53" s="13"/>
      <c r="E53" s="13"/>
      <c r="F53" s="13"/>
      <c r="G53" s="13"/>
      <c r="H53" s="13"/>
      <c r="I53" s="92"/>
      <c r="J53" s="92"/>
      <c r="K53" s="92"/>
      <c r="L53" s="92"/>
      <c r="M53" s="92"/>
      <c r="N53" s="93"/>
      <c r="O53" s="147"/>
      <c r="P53" s="8"/>
    </row>
    <row r="54" spans="3:16" ht="15.75" customHeight="1" x14ac:dyDescent="0.25">
      <c r="C54" s="118" t="s">
        <v>51</v>
      </c>
      <c r="D54" s="21"/>
      <c r="E54" s="94">
        <f>'April 2026'!J54</f>
        <v>6.56</v>
      </c>
      <c r="F54" s="83" t="s">
        <v>34</v>
      </c>
      <c r="G54" s="21"/>
      <c r="H54" s="21"/>
      <c r="I54" s="95" t="s">
        <v>44</v>
      </c>
      <c r="J54" s="98">
        <f>TRUNC(SUM(((TRUNC(J51)*60)+((J51-TRUNC(J51))*100)),(TRUNC(E54)*60)+((E54-TRUNC(E54))*100))/60)+((SUM(((TRUNC(J51)*60)+((J51-TRUNC(J51))*100)),(TRUNC(E54)*60)+((E54-TRUNC(E54))*100))/60)-TRUNC((SUM(((TRUNC(J51)*60)+((J51-TRUNC(J51))*100)),(TRUNC(E54)*60)+((E54-TRUNC(E54))*100))/60)))*60/100</f>
        <v>6.56</v>
      </c>
      <c r="K54" s="96" t="s">
        <v>34</v>
      </c>
      <c r="L54" s="81"/>
      <c r="M54" s="81"/>
      <c r="N54" s="30"/>
      <c r="O54" s="145" t="s">
        <v>34</v>
      </c>
      <c r="P54" s="8"/>
    </row>
    <row r="55" spans="3:16" ht="15.75" thickBot="1" x14ac:dyDescent="0.3">
      <c r="C55" s="86"/>
      <c r="D55" s="87"/>
      <c r="E55" s="87"/>
      <c r="F55" s="87"/>
      <c r="G55" s="87"/>
      <c r="H55" s="87"/>
      <c r="I55" s="97"/>
      <c r="J55" s="97"/>
      <c r="K55" s="97"/>
      <c r="L55" s="97"/>
      <c r="M55" s="97"/>
      <c r="N55" s="90"/>
      <c r="O55" s="146"/>
      <c r="P55" s="8"/>
    </row>
    <row r="56" spans="3:16" x14ac:dyDescent="0.25">
      <c r="C56" s="10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</row>
    <row r="57" spans="3:16" x14ac:dyDescent="0.25">
      <c r="C57" s="6">
        <f>SUM(K11:K41)</f>
        <v>20</v>
      </c>
    </row>
    <row r="58" spans="3:16" x14ac:dyDescent="0.25">
      <c r="E58" s="161"/>
    </row>
  </sheetData>
  <sheetProtection selectLockedCells="1"/>
  <mergeCells count="3">
    <mergeCell ref="E2:F2"/>
    <mergeCell ref="E3:F3"/>
    <mergeCell ref="E4:F4"/>
  </mergeCells>
  <pageMargins left="0.7" right="0.7" top="0.75" bottom="0.75" header="0.3" footer="0.3"/>
  <pageSetup paperSize="9"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Dane!$A$1:$A$12</xm:f>
          </x14:formula1>
          <xm:sqref>D11:D42</xm:sqref>
        </x14:dataValidation>
        <x14:dataValidation type="list" allowBlank="1" showInputMessage="1" showErrorMessage="1">
          <x14:formula1>
            <xm:f>Dane!$G$2:$G$16</xm:f>
          </x14:formula1>
          <xm:sqref>P11:P42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1:AL58"/>
  <sheetViews>
    <sheetView topLeftCell="C5" zoomScaleNormal="100" workbookViewId="0">
      <selection activeCell="F14" sqref="F14:G14"/>
    </sheetView>
  </sheetViews>
  <sheetFormatPr defaultColWidth="9.140625" defaultRowHeight="15" x14ac:dyDescent="0.25"/>
  <cols>
    <col min="1" max="1" width="3.42578125" hidden="1" customWidth="1"/>
    <col min="2" max="2" width="3" hidden="1" customWidth="1"/>
    <col min="3" max="3" width="19.85546875" customWidth="1"/>
    <col min="4" max="4" width="4" customWidth="1"/>
    <col min="5" max="5" width="14.28515625" bestFit="1" customWidth="1"/>
    <col min="7" max="7" width="9.5703125" bestFit="1" customWidth="1"/>
    <col min="8" max="8" width="7.42578125" customWidth="1"/>
    <col min="9" max="9" width="14.42578125" customWidth="1"/>
    <col min="10" max="10" width="10" bestFit="1" customWidth="1"/>
    <col min="11" max="11" width="25.5703125" hidden="1" customWidth="1"/>
    <col min="12" max="12" width="15.140625" hidden="1" customWidth="1"/>
    <col min="13" max="13" width="14.85546875" hidden="1" customWidth="1"/>
    <col min="14" max="14" width="19.140625" hidden="1" customWidth="1"/>
    <col min="15" max="15" width="14.7109375" customWidth="1"/>
    <col min="17" max="17" width="13.28515625" customWidth="1"/>
    <col min="19" max="19" width="9.140625" hidden="1" customWidth="1"/>
    <col min="20" max="20" width="14.140625" customWidth="1"/>
    <col min="21" max="21" width="14.85546875" customWidth="1"/>
    <col min="23" max="31" width="9.140625" hidden="1" customWidth="1"/>
    <col min="32" max="32" width="16.140625" bestFit="1" customWidth="1"/>
    <col min="33" max="34" width="9.140625" hidden="1" customWidth="1"/>
    <col min="35" max="35" width="18.28515625" bestFit="1" customWidth="1"/>
    <col min="36" max="37" width="9.140625" hidden="1" customWidth="1"/>
    <col min="38" max="38" width="13.140625" bestFit="1" customWidth="1"/>
  </cols>
  <sheetData>
    <row r="1" spans="1:38" ht="18.75" thickBot="1" x14ac:dyDescent="0.3">
      <c r="A1" s="5" t="s">
        <v>48</v>
      </c>
      <c r="B1" s="1"/>
      <c r="C1" s="103" t="s">
        <v>0</v>
      </c>
      <c r="D1" s="104">
        <v>6</v>
      </c>
      <c r="E1" s="102"/>
      <c r="F1" s="102"/>
      <c r="G1" s="103" t="s">
        <v>1</v>
      </c>
      <c r="H1" s="105" t="str">
        <f>'Januar 2026'!rok</f>
        <v>2026</v>
      </c>
      <c r="I1" s="106" t="s">
        <v>2</v>
      </c>
      <c r="J1" s="107">
        <v>8</v>
      </c>
      <c r="K1" s="108"/>
      <c r="L1" s="109"/>
      <c r="M1" s="109"/>
      <c r="N1" s="110"/>
      <c r="O1" s="8"/>
      <c r="P1" s="8"/>
      <c r="Q1" s="9" t="str">
        <f>Dane!A2</f>
        <v>w</v>
      </c>
      <c r="R1" s="10" t="str">
        <f>Dane!B2</f>
        <v>dzień wolny ustawowo</v>
      </c>
      <c r="S1" s="8"/>
      <c r="T1" s="8"/>
      <c r="U1" s="123" t="str">
        <f>Dane!A9</f>
        <v>oc</v>
      </c>
      <c r="V1" s="8" t="str">
        <f>Dane!B9</f>
        <v>opieka nad chorym dzieckiem</v>
      </c>
    </row>
    <row r="2" spans="1:38" x14ac:dyDescent="0.25">
      <c r="A2" s="2"/>
      <c r="B2" s="1"/>
      <c r="C2" s="11"/>
      <c r="D2" s="11" t="s">
        <v>4</v>
      </c>
      <c r="E2" s="175"/>
      <c r="F2" s="176"/>
      <c r="G2" s="16"/>
      <c r="H2" s="17"/>
      <c r="I2" s="28" t="s">
        <v>5</v>
      </c>
      <c r="J2" s="101">
        <v>40</v>
      </c>
      <c r="K2" s="12" t="s">
        <v>6</v>
      </c>
      <c r="L2" s="13"/>
      <c r="M2" s="13"/>
      <c r="N2" s="14"/>
      <c r="O2" s="12" t="s">
        <v>6</v>
      </c>
      <c r="P2" s="8"/>
      <c r="Q2" s="9" t="str">
        <f>Dane!A3</f>
        <v>u</v>
      </c>
      <c r="R2" s="10" t="str">
        <f>Dane!B3</f>
        <v>urlop</v>
      </c>
      <c r="S2" s="8"/>
      <c r="T2" s="8"/>
      <c r="U2" s="122" t="str">
        <f>Dane!A10</f>
        <v>um</v>
      </c>
      <c r="V2" s="8" t="str">
        <f>Dane!B10</f>
        <v>urlop macierzyński</v>
      </c>
    </row>
    <row r="3" spans="1:38" x14ac:dyDescent="0.25">
      <c r="A3" s="1"/>
      <c r="B3" s="1"/>
      <c r="C3" s="15"/>
      <c r="D3" s="15" t="s">
        <v>46</v>
      </c>
      <c r="E3" s="175"/>
      <c r="F3" s="176"/>
      <c r="G3" s="16"/>
      <c r="H3" s="17"/>
      <c r="I3" s="18"/>
      <c r="J3" s="19"/>
      <c r="K3" s="20"/>
      <c r="L3" s="21"/>
      <c r="M3" s="21"/>
      <c r="N3" s="22"/>
      <c r="O3" s="20"/>
      <c r="P3" s="8"/>
      <c r="Q3" s="9" t="str">
        <f>Dane!A4</f>
        <v>c</v>
      </c>
      <c r="R3" s="10" t="str">
        <f>Dane!B4</f>
        <v>choroba</v>
      </c>
      <c r="S3" s="8"/>
      <c r="T3" s="8"/>
      <c r="U3" s="122" t="str">
        <f>Dane!A11</f>
        <v>uz</v>
      </c>
      <c r="V3" s="8" t="str">
        <f>Dane!B11</f>
        <v>urlop zaplanowany</v>
      </c>
    </row>
    <row r="4" spans="1:38" ht="15.75" thickBot="1" x14ac:dyDescent="0.3">
      <c r="A4" s="3"/>
      <c r="B4" s="1"/>
      <c r="C4" s="15"/>
      <c r="D4" s="23" t="s">
        <v>11</v>
      </c>
      <c r="E4" s="175"/>
      <c r="F4" s="176"/>
      <c r="G4" s="16"/>
      <c r="H4" s="17"/>
      <c r="I4" s="18"/>
      <c r="J4" s="19"/>
      <c r="K4" s="20"/>
      <c r="L4" s="21"/>
      <c r="M4" s="21"/>
      <c r="N4" s="22"/>
      <c r="O4" s="20"/>
      <c r="P4" s="8"/>
      <c r="Q4" s="9" t="str">
        <f>Dane!A5</f>
        <v>g</v>
      </c>
      <c r="R4" s="10" t="str">
        <f>Dane!B5</f>
        <v xml:space="preserve">godz.(rządanie pracownika) </v>
      </c>
      <c r="S4" s="8"/>
      <c r="T4" s="8"/>
      <c r="U4" s="122" t="str">
        <f>Dane!A12</f>
        <v>gp</v>
      </c>
      <c r="V4" t="str">
        <f>Dane!B12</f>
        <v xml:space="preserve">godz.(rządanie pracodawcy) </v>
      </c>
    </row>
    <row r="5" spans="1:38" x14ac:dyDescent="0.25">
      <c r="A5" s="3"/>
      <c r="B5" s="1"/>
      <c r="C5" s="15"/>
      <c r="D5" s="24"/>
      <c r="E5" s="25"/>
      <c r="F5" s="26"/>
      <c r="G5" s="27"/>
      <c r="H5" s="17"/>
      <c r="I5" s="28" t="s">
        <v>12</v>
      </c>
      <c r="J5" s="111">
        <v>0</v>
      </c>
      <c r="K5" s="29" t="s">
        <v>13</v>
      </c>
      <c r="L5" s="21"/>
      <c r="M5" s="21"/>
      <c r="N5" s="30"/>
      <c r="O5" s="29" t="s">
        <v>13</v>
      </c>
      <c r="P5" s="8"/>
      <c r="Q5" s="9" t="str">
        <f>Dane!A6</f>
        <v>s</v>
      </c>
      <c r="R5" s="10" t="str">
        <f>Dane!B6</f>
        <v>urlop specjalny/okolicznościow</v>
      </c>
      <c r="S5" s="8"/>
      <c r="T5" s="8"/>
      <c r="U5" s="9"/>
    </row>
    <row r="6" spans="1:38" x14ac:dyDescent="0.25">
      <c r="A6" s="3"/>
      <c r="B6" s="1"/>
      <c r="C6" s="15"/>
      <c r="D6" s="23"/>
      <c r="E6" s="31"/>
      <c r="F6" s="32"/>
      <c r="G6" s="33"/>
      <c r="H6" s="17"/>
      <c r="I6" s="21"/>
      <c r="J6" s="112">
        <v>0</v>
      </c>
      <c r="K6" s="29" t="s">
        <v>16</v>
      </c>
      <c r="L6" s="21"/>
      <c r="M6" s="21"/>
      <c r="N6" s="30"/>
      <c r="O6" s="29" t="s">
        <v>16</v>
      </c>
      <c r="P6" s="8"/>
      <c r="Q6" s="9" t="str">
        <f>Dane!A7</f>
        <v>a</v>
      </c>
      <c r="R6" s="10" t="str">
        <f>Dane!B7</f>
        <v>nieobecny</v>
      </c>
      <c r="S6" s="8"/>
      <c r="T6" s="8"/>
      <c r="U6" s="8"/>
    </row>
    <row r="7" spans="1:38" ht="15.75" thickBot="1" x14ac:dyDescent="0.3">
      <c r="A7" s="1"/>
      <c r="B7" s="1"/>
      <c r="C7" s="34"/>
      <c r="D7" s="35"/>
      <c r="E7" s="35"/>
      <c r="F7" s="35"/>
      <c r="G7" s="35"/>
      <c r="H7" s="17"/>
      <c r="I7" s="28" t="s">
        <v>17</v>
      </c>
      <c r="J7" s="113">
        <v>8</v>
      </c>
      <c r="K7" s="20" t="s">
        <v>18</v>
      </c>
      <c r="L7" s="21"/>
      <c r="M7" s="21"/>
      <c r="N7" s="30"/>
      <c r="O7" s="20" t="s">
        <v>18</v>
      </c>
      <c r="P7" s="8"/>
      <c r="Q7" s="9" t="str">
        <f>Dane!A8</f>
        <v>op</v>
      </c>
      <c r="R7" s="10" t="str">
        <f>Dane!B8</f>
        <v>opieka nad zdrowym dzieckiem</v>
      </c>
      <c r="S7" s="8"/>
      <c r="T7" s="8"/>
      <c r="U7" s="8"/>
    </row>
    <row r="8" spans="1:38" ht="23.25" x14ac:dyDescent="0.35">
      <c r="A8" s="2"/>
      <c r="B8" s="2"/>
      <c r="C8" s="99" t="s">
        <v>45</v>
      </c>
      <c r="D8" s="7"/>
      <c r="E8" s="7"/>
      <c r="F8" s="100" t="str">
        <f>TEXT(DATE(H1,D1,1),"MMMM rrrr")</f>
        <v>czerwiec 2026</v>
      </c>
      <c r="G8" s="36"/>
      <c r="H8" s="37"/>
      <c r="I8" s="38"/>
      <c r="J8" s="39"/>
      <c r="K8" s="39"/>
      <c r="L8" s="39"/>
      <c r="M8" s="39"/>
      <c r="N8" s="40"/>
      <c r="O8" s="41"/>
      <c r="P8" s="42"/>
      <c r="Q8" s="41"/>
      <c r="R8" s="42"/>
      <c r="S8" s="41"/>
      <c r="T8" s="41"/>
      <c r="U8" s="42"/>
    </row>
    <row r="9" spans="1:38" ht="15.75" thickBot="1" x14ac:dyDescent="0.3">
      <c r="A9" s="2"/>
      <c r="B9" s="2"/>
      <c r="C9" s="43"/>
      <c r="D9" s="68" t="s">
        <v>21</v>
      </c>
      <c r="E9" s="120" t="str">
        <f>TEXT(F9,"DDDD ")</f>
        <v xml:space="preserve">poniedziałek </v>
      </c>
      <c r="F9" s="120">
        <f>DATE(H1,D1,1)</f>
        <v>46174</v>
      </c>
      <c r="G9" s="68" t="s">
        <v>22</v>
      </c>
      <c r="H9" s="121" t="str">
        <f>TEXT(I9,"DDDD ")</f>
        <v xml:space="preserve">wtorek </v>
      </c>
      <c r="I9" s="120">
        <f>DATE(YEAR(F9),MONTH(F9+31),DAY(F9))-1</f>
        <v>46203</v>
      </c>
      <c r="J9" s="47"/>
      <c r="K9" s="47"/>
      <c r="L9" s="47"/>
      <c r="M9" s="47"/>
      <c r="N9" s="30"/>
      <c r="O9" s="48"/>
      <c r="P9" s="49"/>
      <c r="Q9" s="48"/>
      <c r="R9" s="49"/>
      <c r="S9" s="48"/>
      <c r="T9" s="48"/>
      <c r="U9" s="49"/>
    </row>
    <row r="10" spans="1:38" ht="52.5" thickBot="1" x14ac:dyDescent="0.3">
      <c r="A10" s="4"/>
      <c r="B10" s="4"/>
      <c r="C10" s="50" t="s">
        <v>23</v>
      </c>
      <c r="D10" s="51"/>
      <c r="E10" s="51" t="s">
        <v>24</v>
      </c>
      <c r="F10" s="51" t="s">
        <v>25</v>
      </c>
      <c r="G10" s="51" t="s">
        <v>26</v>
      </c>
      <c r="H10" s="51" t="s">
        <v>27</v>
      </c>
      <c r="I10" s="51" t="s">
        <v>137</v>
      </c>
      <c r="J10" s="51" t="s">
        <v>28</v>
      </c>
      <c r="K10" s="51"/>
      <c r="L10" s="51" t="s">
        <v>100</v>
      </c>
      <c r="M10" s="51"/>
      <c r="N10" s="52"/>
      <c r="O10" s="51" t="s">
        <v>29</v>
      </c>
      <c r="P10" s="51" t="s">
        <v>105</v>
      </c>
      <c r="Q10" s="136" t="s">
        <v>101</v>
      </c>
      <c r="R10" s="53"/>
      <c r="S10" s="51"/>
      <c r="T10" s="114" t="s">
        <v>49</v>
      </c>
      <c r="U10" s="114" t="s">
        <v>50</v>
      </c>
      <c r="W10" t="s">
        <v>138</v>
      </c>
      <c r="X10" t="s">
        <v>139</v>
      </c>
      <c r="Y10" t="s">
        <v>140</v>
      </c>
      <c r="AF10" s="171" t="s">
        <v>152</v>
      </c>
      <c r="AG10" s="171"/>
      <c r="AH10" s="171"/>
      <c r="AI10" s="171" t="s">
        <v>153</v>
      </c>
      <c r="AJ10" s="171"/>
      <c r="AK10" s="171"/>
      <c r="AL10" s="171" t="s">
        <v>154</v>
      </c>
    </row>
    <row r="11" spans="1:38" ht="15.75" x14ac:dyDescent="0.25">
      <c r="A11" s="2">
        <f>DATE(H1,D1,1)</f>
        <v>46174</v>
      </c>
      <c r="B11" s="2">
        <f>CODE(TEXT(A11,"TTTT"))</f>
        <v>84</v>
      </c>
      <c r="C11" s="54" t="str">
        <f t="shared" ref="C11:C40" si="0">TEXT(A11,"DD.M. DDDD")</f>
        <v>01.6. poniedziałek</v>
      </c>
      <c r="D11" s="159"/>
      <c r="E11" s="117" t="str">
        <f>IF(D11="w","wolne",IF(D11="u","urlop",IF(D11="c","choroba",IF(D11="g","godziny",IF(D11="a","nieobecny",IF(D11="op","opieka"," "))))))</f>
        <v xml:space="preserve"> </v>
      </c>
      <c r="F11" s="115">
        <v>8</v>
      </c>
      <c r="G11" s="115">
        <v>16</v>
      </c>
      <c r="H11" s="55">
        <f t="shared" ref="H11:H40" si="1">IF(D11="d",(((((TRUNC(G11)-1)-TRUNC(F11))*60)+((G11-TRUNC(G11))*100)+(60-(F11-TRUNC(F11))*100))-(IF(M11&lt;przerwa1,pause,przerwa1)))/60,IF((OR((B11=83),(D11="u"),(D11="uz"),(D11="a"),(D11="c"),(D11="s"),(AND(D11="w",F11="")),(D11="oc"),(D11="um"),(D11="op"),(D11="oc"))),"",IF(OR(D11="g",AND(D11="gp",F11="")),0,TRUNC((((TRUNC(G11)*60+(G11-(TRUNC(G11)))*100)-(TRUNC(F11)*60+(F11-TRUNC(F11))*100))-(IF(M11&lt;przerwa1,pause,przerwa1)))/60)+(((((TRUNC(G11)*60+(G11-(TRUNC(G11)))*100)-(TRUNC(F11)*60+(F11-TRUNC(F11))*100))-(IF(M11&lt;przerwa1,pause,przerwa1)))/60)-TRUNC(((((TRUNC(G11)*60+(G11-(TRUNC(G11)))*100)-(TRUNC(F11)*60+(F11-TRUNC(F11))*100))-(IF(M11&lt;przerwa1,pause,przerwa1)))/60)))*60/100)))</f>
        <v>8</v>
      </c>
      <c r="I11" s="55">
        <f t="shared" ref="I11:I40" si="2">IF(AND(D11="gp",F11=""),-(TRUNC(godz/1.5)+((godz/1.5)-TRUNC(godz/1.5))*60/100),IF(AND(D11="gp",F11&lt;&gt;"",G11&lt;&gt;""),ROUND(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+(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-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)*60/100,2),IF(OR((B11=83),(D11="w"),(D11="s"),(D11="c"),(D11="a"),(D11="oc"),(D11="um"),(D11="op"),(D11="uz"),(D11="u")),"",ROUND((TRUNC(H11-godz)+(((TRUNC(H11)*60)+(H11-TRUNC(H11))*100)-(godz*60)-(TRUNC(H11-godz)*60))/100),2))))</f>
        <v>0</v>
      </c>
      <c r="J11" s="56">
        <f t="shared" ref="J11:J40" si="3">IF(D11="gp",(TRUNC(I11)*60+(I11-TRUNC(I11))*100),IF(OR((I11=""),(B11=83)),"",IF((I11=0),0,TRUNC(H11-godz)*60+(((TRUNC(H11)*60)+(H11-TRUNC(H11))*100)-(godz*60)-(TRUNC(H11-godz)*60)))))</f>
        <v>0</v>
      </c>
      <c r="K11" s="57">
        <f>IF(OR((B11=83),(D11="w")),0,1)</f>
        <v>1</v>
      </c>
      <c r="L11" s="57">
        <f>IF(OR((D11="c"),(D11="u"),(D11="uz"),(D11="um"),(D11="op"),(D11="oc"),(D11="s")),1,0)</f>
        <v>0</v>
      </c>
      <c r="M11" s="58" t="str">
        <f t="shared" ref="M11:M40" si="4">IF(((((((TRUNC(G11)-1)-TRUNC(F11))*60)+((G11-TRUNC(G11))*100)+(60-(F11-TRUNC(F11))*100)))/100)&lt;pause2,"przerwa1","pause")</f>
        <v>przerwa1</v>
      </c>
      <c r="N11" s="57">
        <f>IF(OR((B11=83),(D11="w"),(D11="g"),(D11="c"),(D11="u"),(D11="uz"),(D11="op"),(D11="oc")),0,1)</f>
        <v>1</v>
      </c>
      <c r="O11" s="137"/>
      <c r="P11" s="149"/>
      <c r="Q11" s="138"/>
      <c r="R11" s="8"/>
      <c r="S11" s="60">
        <f t="shared" ref="S11:S41" si="5">IF(H11&lt;&gt;"",IF(D11="w",((TRUNC(H11)*60)+(H11-TRUNC(H11))*100),((TRUNC(H11)*60+(H11-TRUNC(H11))*100)-pause2*60-O11))," ")</f>
        <v>0</v>
      </c>
      <c r="T11" s="60" t="str">
        <f>IF(S11&gt;0,S11," ")</f>
        <v xml:space="preserve"> </v>
      </c>
      <c r="U11" s="60" t="str">
        <f>IF(S11&lt;0,S11," ")</f>
        <v xml:space="preserve"> </v>
      </c>
      <c r="W11">
        <f>IF(H11="",0,TRUNC(H11)*60)</f>
        <v>480</v>
      </c>
      <c r="X11">
        <f>IF(H11="",0,ROUND((H11-TRUNC(H11))*100,0)-O11)</f>
        <v>0</v>
      </c>
      <c r="Y11">
        <f>IF(D11="gp",(TRUNC(I11)*60+(I11-TRUNC(I11))*100),(IF(D11="g",(TRUNC(I11)*60+(I11-TRUNC(I11))*100),W11+X11)))</f>
        <v>480</v>
      </c>
      <c r="AD11" s="158">
        <f t="shared" ref="AD11:AD12" si="6">TRUNC(F11)</f>
        <v>8</v>
      </c>
      <c r="AE11" s="158">
        <f t="shared" ref="AE11:AE12" si="7">F11-TRUNC(F11)</f>
        <v>0</v>
      </c>
      <c r="AF11" s="64">
        <f t="shared" ref="AF11:AF12" si="8">IF(F11&lt;&gt;0,AD11+(AE11/0.6)," ")</f>
        <v>8</v>
      </c>
      <c r="AG11" s="169">
        <f t="shared" ref="AG11:AG12" si="9">TRUNC(G11)</f>
        <v>16</v>
      </c>
      <c r="AH11" s="169">
        <f t="shared" ref="AH11:AH12" si="10">G11-TRUNC(G11)</f>
        <v>0</v>
      </c>
      <c r="AI11" s="64">
        <f t="shared" ref="AI11:AI12" si="11">IF(G11&lt;&gt;0,AG11+(AH11/0.6)," ")</f>
        <v>16</v>
      </c>
      <c r="AJ11" s="169">
        <f t="shared" ref="AJ11:AJ12" si="12">IF(H11&lt;&gt;"",TRUNC(H11),"")</f>
        <v>8</v>
      </c>
      <c r="AK11" s="169">
        <f t="shared" ref="AK11:AK12" si="13">IF(H11&lt;&gt;"",H11-AJ11,"")</f>
        <v>0</v>
      </c>
      <c r="AL11" s="64">
        <f t="shared" ref="AL11:AL12" si="14">IF(H11&lt;&gt;"",AJ11+(AK11/0.6)," ")</f>
        <v>8</v>
      </c>
    </row>
    <row r="12" spans="1:38" ht="15.75" x14ac:dyDescent="0.25">
      <c r="A12" s="2">
        <f>(A11+1)</f>
        <v>46175</v>
      </c>
      <c r="B12" s="2">
        <f t="shared" ref="B12:B41" si="15">CODE(TEXT(A12,"TTTT"))</f>
        <v>84</v>
      </c>
      <c r="C12" s="54" t="str">
        <f t="shared" si="0"/>
        <v>02.6. wtorek</v>
      </c>
      <c r="D12" s="159"/>
      <c r="E12" s="117" t="str">
        <f t="shared" ref="E12:E40" si="16">IF(D12="w","wolne",IF(D12="u","urlop",IF(D12="c","choroba",IF(D12="g","godziny",IF(D12="a","nieobecny",IF(D12="op","opieka"," "))))))</f>
        <v xml:space="preserve"> </v>
      </c>
      <c r="F12" s="115">
        <v>8</v>
      </c>
      <c r="G12" s="115">
        <v>16</v>
      </c>
      <c r="H12" s="55">
        <f t="shared" si="1"/>
        <v>8</v>
      </c>
      <c r="I12" s="55">
        <f t="shared" si="2"/>
        <v>0</v>
      </c>
      <c r="J12" s="56">
        <f t="shared" si="3"/>
        <v>0</v>
      </c>
      <c r="K12" s="57">
        <f>IF(OR((B12=83),(D12="w")),0,1)</f>
        <v>1</v>
      </c>
      <c r="L12" s="57">
        <f t="shared" ref="L12:L40" si="17">IF(OR((D12="c"),(D12="u"),(D12="uz"),(D12="um"),(D12="op"),(D12="oc"),(D12="s")),1,0)</f>
        <v>0</v>
      </c>
      <c r="M12" s="58" t="str">
        <f t="shared" si="4"/>
        <v>przerwa1</v>
      </c>
      <c r="N12" s="57">
        <f t="shared" ref="N12:N40" si="18">IF(OR((B12=83),(D12="w"),(D12="g"),(D12="c"),(D12="u"),(D12="uz"),(D12="op"),(D12="oc")),0,1)</f>
        <v>1</v>
      </c>
      <c r="O12" s="138"/>
      <c r="P12" s="149"/>
      <c r="Q12" s="138"/>
      <c r="R12" s="8"/>
      <c r="S12" s="60">
        <f t="shared" si="5"/>
        <v>0</v>
      </c>
      <c r="T12" s="60" t="str">
        <f t="shared" ref="T12:T41" si="19">IF(S12&gt;0,S12," ")</f>
        <v xml:space="preserve"> </v>
      </c>
      <c r="U12" s="60" t="str">
        <f t="shared" ref="U12:U41" si="20">IF(S12&lt;0,S12," ")</f>
        <v xml:space="preserve"> </v>
      </c>
      <c r="W12">
        <f t="shared" ref="W12:W41" si="21">IF(H12="",0,TRUNC(H12)*60)</f>
        <v>480</v>
      </c>
      <c r="X12">
        <f t="shared" ref="X12:X41" si="22">IF(H12="",0,ROUND((H12-TRUNC(H12))*100,0)-O12)</f>
        <v>0</v>
      </c>
      <c r="Y12">
        <f t="shared" ref="Y12:Y41" si="23">IF(D12="gp",(TRUNC(I12)*60+(I12-TRUNC(I12))*100),(IF(D12="g",(TRUNC(I12)*60+(I12-TRUNC(I12))*100),W12+X12)))</f>
        <v>480</v>
      </c>
      <c r="AD12" s="158">
        <f t="shared" si="6"/>
        <v>8</v>
      </c>
      <c r="AE12" s="158">
        <f t="shared" si="7"/>
        <v>0</v>
      </c>
      <c r="AF12" s="64">
        <f t="shared" si="8"/>
        <v>8</v>
      </c>
      <c r="AG12" s="169">
        <f t="shared" si="9"/>
        <v>16</v>
      </c>
      <c r="AH12" s="169">
        <f t="shared" si="10"/>
        <v>0</v>
      </c>
      <c r="AI12" s="64">
        <f t="shared" si="11"/>
        <v>16</v>
      </c>
      <c r="AJ12" s="169">
        <f t="shared" si="12"/>
        <v>8</v>
      </c>
      <c r="AK12" s="169">
        <f t="shared" si="13"/>
        <v>0</v>
      </c>
      <c r="AL12" s="64">
        <f t="shared" si="14"/>
        <v>8</v>
      </c>
    </row>
    <row r="13" spans="1:38" ht="15.75" x14ac:dyDescent="0.25">
      <c r="A13" s="2">
        <f t="shared" ref="A13:A41" si="24">(A12+1)</f>
        <v>46176</v>
      </c>
      <c r="B13" s="2">
        <f t="shared" si="15"/>
        <v>84</v>
      </c>
      <c r="C13" s="54" t="str">
        <f t="shared" si="0"/>
        <v>03.6. środa</v>
      </c>
      <c r="D13" s="159"/>
      <c r="E13" s="117" t="str">
        <f t="shared" si="16"/>
        <v xml:space="preserve"> </v>
      </c>
      <c r="F13" s="115">
        <v>8</v>
      </c>
      <c r="G13" s="115">
        <v>16</v>
      </c>
      <c r="H13" s="55">
        <f t="shared" si="1"/>
        <v>8</v>
      </c>
      <c r="I13" s="55">
        <f t="shared" si="2"/>
        <v>0</v>
      </c>
      <c r="J13" s="56">
        <f t="shared" si="3"/>
        <v>0</v>
      </c>
      <c r="K13" s="57">
        <f>IF(OR((B13=83),(D13="w")),0,1)</f>
        <v>1</v>
      </c>
      <c r="L13" s="57">
        <f t="shared" si="17"/>
        <v>0</v>
      </c>
      <c r="M13" s="58" t="str">
        <f t="shared" si="4"/>
        <v>przerwa1</v>
      </c>
      <c r="N13" s="57">
        <f t="shared" si="18"/>
        <v>1</v>
      </c>
      <c r="O13" s="138"/>
      <c r="P13" s="149"/>
      <c r="Q13" s="138"/>
      <c r="R13" s="8"/>
      <c r="S13" s="60">
        <f t="shared" si="5"/>
        <v>0</v>
      </c>
      <c r="T13" s="60" t="str">
        <f t="shared" si="19"/>
        <v xml:space="preserve"> </v>
      </c>
      <c r="U13" s="60" t="str">
        <f t="shared" si="20"/>
        <v xml:space="preserve"> </v>
      </c>
      <c r="W13">
        <f t="shared" si="21"/>
        <v>480</v>
      </c>
      <c r="X13">
        <f t="shared" si="22"/>
        <v>0</v>
      </c>
      <c r="Y13">
        <f t="shared" si="23"/>
        <v>480</v>
      </c>
      <c r="AD13" s="158">
        <f>TRUNC(F13)</f>
        <v>8</v>
      </c>
      <c r="AE13" s="158">
        <f>F13-TRUNC(F13)</f>
        <v>0</v>
      </c>
      <c r="AF13" s="64">
        <f>IF(F13&lt;&gt;0,AD13+(AE13/0.6)," ")</f>
        <v>8</v>
      </c>
      <c r="AG13" s="169">
        <f>TRUNC(G13)</f>
        <v>16</v>
      </c>
      <c r="AH13" s="169">
        <f>G13-TRUNC(G13)</f>
        <v>0</v>
      </c>
      <c r="AI13" s="64">
        <f>IF(G13&lt;&gt;0,AG13+(AH13/0.6)," ")</f>
        <v>16</v>
      </c>
      <c r="AJ13" s="169">
        <f>IF(H13&lt;&gt;"",TRUNC(H13),"")</f>
        <v>8</v>
      </c>
      <c r="AK13" s="169">
        <f>IF(H13&lt;&gt;"",H13-AJ13,"")</f>
        <v>0</v>
      </c>
      <c r="AL13" s="64">
        <f>IF(H13&lt;&gt;"",AJ13+(AK13/0.6)," ")</f>
        <v>8</v>
      </c>
    </row>
    <row r="14" spans="1:38" ht="15.75" x14ac:dyDescent="0.25">
      <c r="A14" s="2">
        <f t="shared" si="24"/>
        <v>46177</v>
      </c>
      <c r="B14" s="2">
        <f t="shared" si="15"/>
        <v>84</v>
      </c>
      <c r="C14" s="54" t="str">
        <f t="shared" si="0"/>
        <v>04.6. czwartek</v>
      </c>
      <c r="D14" s="159" t="s">
        <v>47</v>
      </c>
      <c r="E14" s="117" t="str">
        <f t="shared" si="16"/>
        <v>wolne</v>
      </c>
      <c r="F14" s="115"/>
      <c r="G14" s="115"/>
      <c r="H14" s="55" t="str">
        <f t="shared" si="1"/>
        <v/>
      </c>
      <c r="I14" s="55" t="str">
        <f t="shared" si="2"/>
        <v/>
      </c>
      <c r="J14" s="56" t="str">
        <f t="shared" si="3"/>
        <v/>
      </c>
      <c r="K14" s="57">
        <f>IF(OR((B14=83),(D14="w")),0,1)</f>
        <v>0</v>
      </c>
      <c r="L14" s="57">
        <f t="shared" si="17"/>
        <v>0</v>
      </c>
      <c r="M14" s="58" t="str">
        <f t="shared" si="4"/>
        <v>przerwa1</v>
      </c>
      <c r="N14" s="57">
        <f t="shared" si="18"/>
        <v>0</v>
      </c>
      <c r="O14" s="138"/>
      <c r="P14" s="149"/>
      <c r="Q14" s="138"/>
      <c r="R14" s="8"/>
      <c r="S14" s="60" t="str">
        <f t="shared" si="5"/>
        <v xml:space="preserve"> </v>
      </c>
      <c r="T14" s="60" t="str">
        <f t="shared" si="19"/>
        <v xml:space="preserve"> </v>
      </c>
      <c r="U14" s="60" t="str">
        <f t="shared" si="20"/>
        <v xml:space="preserve"> </v>
      </c>
      <c r="W14">
        <f t="shared" si="21"/>
        <v>0</v>
      </c>
      <c r="X14">
        <f t="shared" si="22"/>
        <v>0</v>
      </c>
      <c r="Y14">
        <f t="shared" si="23"/>
        <v>0</v>
      </c>
      <c r="AD14" s="158">
        <f t="shared" ref="AD14:AD41" si="25">TRUNC(F14)</f>
        <v>0</v>
      </c>
      <c r="AE14" s="158">
        <f t="shared" ref="AE14:AE41" si="26">F14-TRUNC(F14)</f>
        <v>0</v>
      </c>
      <c r="AF14" s="64" t="str">
        <f t="shared" ref="AF14:AF41" si="27">IF(F14&lt;&gt;0,AD14+(AE14/0.6)," ")</f>
        <v xml:space="preserve"> </v>
      </c>
      <c r="AG14" s="169">
        <f t="shared" ref="AG14:AG41" si="28">TRUNC(G14)</f>
        <v>0</v>
      </c>
      <c r="AH14" s="169">
        <f t="shared" ref="AH14:AH41" si="29">G14-TRUNC(G14)</f>
        <v>0</v>
      </c>
      <c r="AI14" s="64" t="str">
        <f t="shared" ref="AI14:AI41" si="30">IF(G14&lt;&gt;0,AG14+(AH14/0.6)," ")</f>
        <v xml:space="preserve"> </v>
      </c>
      <c r="AJ14" s="169" t="str">
        <f t="shared" ref="AJ14:AJ41" si="31">IF(H14&lt;&gt;"",TRUNC(H14),"")</f>
        <v/>
      </c>
      <c r="AK14" s="169" t="str">
        <f t="shared" ref="AK14:AK41" si="32">IF(H14&lt;&gt;"",H14-AJ14,"")</f>
        <v/>
      </c>
      <c r="AL14" s="64" t="str">
        <f t="shared" ref="AL14:AL41" si="33">IF(H14&lt;&gt;"",AJ14+(AK14/0.6)," ")</f>
        <v xml:space="preserve"> </v>
      </c>
    </row>
    <row r="15" spans="1:38" ht="15.75" x14ac:dyDescent="0.25">
      <c r="A15" s="2">
        <f t="shared" si="24"/>
        <v>46178</v>
      </c>
      <c r="B15" s="2">
        <f t="shared" si="15"/>
        <v>84</v>
      </c>
      <c r="C15" s="54" t="str">
        <f t="shared" si="0"/>
        <v>05.6. piątek</v>
      </c>
      <c r="D15" s="159"/>
      <c r="E15" s="117" t="str">
        <f t="shared" si="16"/>
        <v xml:space="preserve"> </v>
      </c>
      <c r="F15" s="115">
        <v>8</v>
      </c>
      <c r="G15" s="115">
        <v>16</v>
      </c>
      <c r="H15" s="55">
        <f t="shared" si="1"/>
        <v>8</v>
      </c>
      <c r="I15" s="55">
        <f t="shared" si="2"/>
        <v>0</v>
      </c>
      <c r="J15" s="56">
        <f t="shared" si="3"/>
        <v>0</v>
      </c>
      <c r="K15" s="57">
        <f t="shared" ref="K15:K42" si="34">IF(OR((B15=83),(D15="w")),0,1)</f>
        <v>1</v>
      </c>
      <c r="L15" s="57">
        <f t="shared" si="17"/>
        <v>0</v>
      </c>
      <c r="M15" s="58" t="str">
        <f t="shared" si="4"/>
        <v>przerwa1</v>
      </c>
      <c r="N15" s="57">
        <f t="shared" si="18"/>
        <v>1</v>
      </c>
      <c r="O15" s="138"/>
      <c r="P15" s="149"/>
      <c r="Q15" s="138"/>
      <c r="R15" s="8"/>
      <c r="S15" s="60">
        <f t="shared" si="5"/>
        <v>0</v>
      </c>
      <c r="T15" s="60" t="str">
        <f t="shared" si="19"/>
        <v xml:space="preserve"> </v>
      </c>
      <c r="U15" s="60" t="str">
        <f t="shared" si="20"/>
        <v xml:space="preserve"> </v>
      </c>
      <c r="W15">
        <f t="shared" si="21"/>
        <v>480</v>
      </c>
      <c r="X15">
        <f t="shared" si="22"/>
        <v>0</v>
      </c>
      <c r="Y15">
        <f t="shared" si="23"/>
        <v>480</v>
      </c>
      <c r="AD15" s="158">
        <f t="shared" si="25"/>
        <v>8</v>
      </c>
      <c r="AE15" s="158">
        <f t="shared" si="26"/>
        <v>0</v>
      </c>
      <c r="AF15" s="64">
        <f t="shared" si="27"/>
        <v>8</v>
      </c>
      <c r="AG15" s="169">
        <f t="shared" si="28"/>
        <v>16</v>
      </c>
      <c r="AH15" s="169">
        <f t="shared" si="29"/>
        <v>0</v>
      </c>
      <c r="AI15" s="64">
        <f t="shared" si="30"/>
        <v>16</v>
      </c>
      <c r="AJ15" s="169">
        <f t="shared" si="31"/>
        <v>8</v>
      </c>
      <c r="AK15" s="169">
        <f t="shared" si="32"/>
        <v>0</v>
      </c>
      <c r="AL15" s="64">
        <f t="shared" si="33"/>
        <v>8</v>
      </c>
    </row>
    <row r="16" spans="1:38" ht="15.75" x14ac:dyDescent="0.25">
      <c r="A16" s="2">
        <f t="shared" si="24"/>
        <v>46179</v>
      </c>
      <c r="B16" s="2">
        <f t="shared" si="15"/>
        <v>84</v>
      </c>
      <c r="C16" s="54" t="str">
        <f t="shared" si="0"/>
        <v>06.6. sobota</v>
      </c>
      <c r="D16" s="159" t="s">
        <v>47</v>
      </c>
      <c r="E16" s="117" t="str">
        <f t="shared" si="16"/>
        <v>wolne</v>
      </c>
      <c r="F16" s="115"/>
      <c r="G16" s="115"/>
      <c r="H16" s="55" t="str">
        <f t="shared" si="1"/>
        <v/>
      </c>
      <c r="I16" s="55" t="str">
        <f t="shared" si="2"/>
        <v/>
      </c>
      <c r="J16" s="56" t="str">
        <f t="shared" si="3"/>
        <v/>
      </c>
      <c r="K16" s="57">
        <f t="shared" si="34"/>
        <v>0</v>
      </c>
      <c r="L16" s="57">
        <f t="shared" si="17"/>
        <v>0</v>
      </c>
      <c r="M16" s="58" t="str">
        <f t="shared" si="4"/>
        <v>przerwa1</v>
      </c>
      <c r="N16" s="57">
        <f t="shared" si="18"/>
        <v>0</v>
      </c>
      <c r="O16" s="138"/>
      <c r="P16" s="149"/>
      <c r="Q16" s="138"/>
      <c r="R16" s="8"/>
      <c r="S16" s="60" t="str">
        <f t="shared" si="5"/>
        <v xml:space="preserve"> </v>
      </c>
      <c r="T16" s="60" t="str">
        <f t="shared" si="19"/>
        <v xml:space="preserve"> </v>
      </c>
      <c r="U16" s="60" t="str">
        <f t="shared" si="20"/>
        <v xml:space="preserve"> </v>
      </c>
      <c r="W16">
        <f t="shared" si="21"/>
        <v>0</v>
      </c>
      <c r="X16">
        <f t="shared" si="22"/>
        <v>0</v>
      </c>
      <c r="Y16">
        <f t="shared" si="23"/>
        <v>0</v>
      </c>
      <c r="AD16" s="158">
        <f t="shared" si="25"/>
        <v>0</v>
      </c>
      <c r="AE16" s="158">
        <f t="shared" si="26"/>
        <v>0</v>
      </c>
      <c r="AF16" s="64" t="str">
        <f t="shared" si="27"/>
        <v xml:space="preserve"> </v>
      </c>
      <c r="AG16" s="169">
        <f t="shared" si="28"/>
        <v>0</v>
      </c>
      <c r="AH16" s="169">
        <f t="shared" si="29"/>
        <v>0</v>
      </c>
      <c r="AI16" s="64" t="str">
        <f t="shared" si="30"/>
        <v xml:space="preserve"> </v>
      </c>
      <c r="AJ16" s="169" t="str">
        <f t="shared" si="31"/>
        <v/>
      </c>
      <c r="AK16" s="169" t="str">
        <f t="shared" si="32"/>
        <v/>
      </c>
      <c r="AL16" s="64" t="str">
        <f t="shared" si="33"/>
        <v xml:space="preserve"> </v>
      </c>
    </row>
    <row r="17" spans="1:38" ht="15.75" x14ac:dyDescent="0.25">
      <c r="A17" s="2">
        <f t="shared" si="24"/>
        <v>46180</v>
      </c>
      <c r="B17" s="2">
        <f t="shared" si="15"/>
        <v>84</v>
      </c>
      <c r="C17" s="54" t="str">
        <f t="shared" si="0"/>
        <v>07.6. niedziela</v>
      </c>
      <c r="D17" s="159" t="s">
        <v>47</v>
      </c>
      <c r="E17" s="117" t="str">
        <f t="shared" si="16"/>
        <v>wolne</v>
      </c>
      <c r="F17" s="115"/>
      <c r="G17" s="115"/>
      <c r="H17" s="55" t="str">
        <f t="shared" si="1"/>
        <v/>
      </c>
      <c r="I17" s="55" t="str">
        <f t="shared" si="2"/>
        <v/>
      </c>
      <c r="J17" s="56" t="str">
        <f t="shared" si="3"/>
        <v/>
      </c>
      <c r="K17" s="57">
        <f t="shared" si="34"/>
        <v>0</v>
      </c>
      <c r="L17" s="57">
        <f t="shared" si="17"/>
        <v>0</v>
      </c>
      <c r="M17" s="58" t="str">
        <f t="shared" si="4"/>
        <v>przerwa1</v>
      </c>
      <c r="N17" s="57">
        <f t="shared" si="18"/>
        <v>0</v>
      </c>
      <c r="O17" s="138"/>
      <c r="P17" s="149"/>
      <c r="Q17" s="138"/>
      <c r="R17" s="8"/>
      <c r="S17" s="60" t="str">
        <f t="shared" si="5"/>
        <v xml:space="preserve"> </v>
      </c>
      <c r="T17" s="60" t="str">
        <f t="shared" si="19"/>
        <v xml:space="preserve"> </v>
      </c>
      <c r="U17" s="60" t="str">
        <f t="shared" si="20"/>
        <v xml:space="preserve"> </v>
      </c>
      <c r="W17">
        <f t="shared" si="21"/>
        <v>0</v>
      </c>
      <c r="X17">
        <f t="shared" si="22"/>
        <v>0</v>
      </c>
      <c r="Y17">
        <f t="shared" si="23"/>
        <v>0</v>
      </c>
      <c r="AD17" s="158">
        <f t="shared" si="25"/>
        <v>0</v>
      </c>
      <c r="AE17" s="158">
        <f t="shared" si="26"/>
        <v>0</v>
      </c>
      <c r="AF17" s="64" t="str">
        <f t="shared" si="27"/>
        <v xml:space="preserve"> </v>
      </c>
      <c r="AG17" s="169">
        <f t="shared" si="28"/>
        <v>0</v>
      </c>
      <c r="AH17" s="169">
        <f t="shared" si="29"/>
        <v>0</v>
      </c>
      <c r="AI17" s="64" t="str">
        <f t="shared" si="30"/>
        <v xml:space="preserve"> </v>
      </c>
      <c r="AJ17" s="169" t="str">
        <f t="shared" si="31"/>
        <v/>
      </c>
      <c r="AK17" s="169" t="str">
        <f t="shared" si="32"/>
        <v/>
      </c>
      <c r="AL17" s="64" t="str">
        <f t="shared" si="33"/>
        <v xml:space="preserve"> </v>
      </c>
    </row>
    <row r="18" spans="1:38" ht="15.75" x14ac:dyDescent="0.25">
      <c r="A18" s="2">
        <f t="shared" si="24"/>
        <v>46181</v>
      </c>
      <c r="B18" s="2">
        <f t="shared" si="15"/>
        <v>84</v>
      </c>
      <c r="C18" s="54" t="str">
        <f t="shared" si="0"/>
        <v>08.6. poniedziałek</v>
      </c>
      <c r="D18" s="159"/>
      <c r="E18" s="117" t="str">
        <f t="shared" si="16"/>
        <v xml:space="preserve"> </v>
      </c>
      <c r="F18" s="115">
        <v>8</v>
      </c>
      <c r="G18" s="115">
        <v>16</v>
      </c>
      <c r="H18" s="55">
        <f t="shared" si="1"/>
        <v>8</v>
      </c>
      <c r="I18" s="55">
        <f t="shared" si="2"/>
        <v>0</v>
      </c>
      <c r="J18" s="56">
        <f t="shared" si="3"/>
        <v>0</v>
      </c>
      <c r="K18" s="57">
        <f t="shared" si="34"/>
        <v>1</v>
      </c>
      <c r="L18" s="57">
        <f t="shared" si="17"/>
        <v>0</v>
      </c>
      <c r="M18" s="58" t="str">
        <f t="shared" si="4"/>
        <v>przerwa1</v>
      </c>
      <c r="N18" s="57">
        <f t="shared" si="18"/>
        <v>1</v>
      </c>
      <c r="O18" s="138"/>
      <c r="P18" s="149"/>
      <c r="Q18" s="138"/>
      <c r="R18" s="8"/>
      <c r="S18" s="60">
        <f t="shared" si="5"/>
        <v>0</v>
      </c>
      <c r="T18" s="60" t="str">
        <f t="shared" si="19"/>
        <v xml:space="preserve"> </v>
      </c>
      <c r="U18" s="60" t="str">
        <f t="shared" si="20"/>
        <v xml:space="preserve"> </v>
      </c>
      <c r="W18">
        <f t="shared" si="21"/>
        <v>480</v>
      </c>
      <c r="X18">
        <f t="shared" si="22"/>
        <v>0</v>
      </c>
      <c r="Y18">
        <f t="shared" si="23"/>
        <v>480</v>
      </c>
      <c r="AD18" s="158">
        <f t="shared" si="25"/>
        <v>8</v>
      </c>
      <c r="AE18" s="158">
        <f t="shared" si="26"/>
        <v>0</v>
      </c>
      <c r="AF18" s="64">
        <f t="shared" si="27"/>
        <v>8</v>
      </c>
      <c r="AG18" s="169">
        <f t="shared" si="28"/>
        <v>16</v>
      </c>
      <c r="AH18" s="169">
        <f t="shared" si="29"/>
        <v>0</v>
      </c>
      <c r="AI18" s="64">
        <f t="shared" si="30"/>
        <v>16</v>
      </c>
      <c r="AJ18" s="169">
        <f t="shared" si="31"/>
        <v>8</v>
      </c>
      <c r="AK18" s="169">
        <f t="shared" si="32"/>
        <v>0</v>
      </c>
      <c r="AL18" s="64">
        <f t="shared" si="33"/>
        <v>8</v>
      </c>
    </row>
    <row r="19" spans="1:38" ht="15.75" x14ac:dyDescent="0.25">
      <c r="A19" s="2">
        <f t="shared" si="24"/>
        <v>46182</v>
      </c>
      <c r="B19" s="2">
        <f t="shared" si="15"/>
        <v>84</v>
      </c>
      <c r="C19" s="54" t="str">
        <f t="shared" si="0"/>
        <v>09.6. wtorek</v>
      </c>
      <c r="D19" s="159"/>
      <c r="E19" s="117" t="str">
        <f t="shared" si="16"/>
        <v xml:space="preserve"> </v>
      </c>
      <c r="F19" s="115">
        <v>8</v>
      </c>
      <c r="G19" s="115">
        <v>16</v>
      </c>
      <c r="H19" s="55">
        <f t="shared" si="1"/>
        <v>8</v>
      </c>
      <c r="I19" s="55">
        <f t="shared" si="2"/>
        <v>0</v>
      </c>
      <c r="J19" s="56">
        <f t="shared" si="3"/>
        <v>0</v>
      </c>
      <c r="K19" s="57">
        <f t="shared" si="34"/>
        <v>1</v>
      </c>
      <c r="L19" s="57">
        <f t="shared" si="17"/>
        <v>0</v>
      </c>
      <c r="M19" s="58" t="str">
        <f t="shared" si="4"/>
        <v>przerwa1</v>
      </c>
      <c r="N19" s="57">
        <f t="shared" si="18"/>
        <v>1</v>
      </c>
      <c r="O19" s="138"/>
      <c r="P19" s="149"/>
      <c r="Q19" s="138"/>
      <c r="R19" s="8"/>
      <c r="S19" s="60">
        <f t="shared" si="5"/>
        <v>0</v>
      </c>
      <c r="T19" s="60" t="str">
        <f t="shared" si="19"/>
        <v xml:space="preserve"> </v>
      </c>
      <c r="U19" s="60" t="str">
        <f t="shared" si="20"/>
        <v xml:space="preserve"> </v>
      </c>
      <c r="W19">
        <f t="shared" si="21"/>
        <v>480</v>
      </c>
      <c r="X19">
        <f t="shared" si="22"/>
        <v>0</v>
      </c>
      <c r="Y19">
        <f t="shared" si="23"/>
        <v>480</v>
      </c>
      <c r="AD19" s="158">
        <f t="shared" si="25"/>
        <v>8</v>
      </c>
      <c r="AE19" s="158">
        <f t="shared" si="26"/>
        <v>0</v>
      </c>
      <c r="AF19" s="64">
        <f t="shared" si="27"/>
        <v>8</v>
      </c>
      <c r="AG19" s="169">
        <f t="shared" si="28"/>
        <v>16</v>
      </c>
      <c r="AH19" s="169">
        <f t="shared" si="29"/>
        <v>0</v>
      </c>
      <c r="AI19" s="64">
        <f t="shared" si="30"/>
        <v>16</v>
      </c>
      <c r="AJ19" s="169">
        <f t="shared" si="31"/>
        <v>8</v>
      </c>
      <c r="AK19" s="169">
        <f t="shared" si="32"/>
        <v>0</v>
      </c>
      <c r="AL19" s="64">
        <f t="shared" si="33"/>
        <v>8</v>
      </c>
    </row>
    <row r="20" spans="1:38" ht="15.75" x14ac:dyDescent="0.25">
      <c r="A20" s="2">
        <f t="shared" si="24"/>
        <v>46183</v>
      </c>
      <c r="B20" s="2">
        <f t="shared" si="15"/>
        <v>84</v>
      </c>
      <c r="C20" s="54" t="str">
        <f t="shared" si="0"/>
        <v>10.6. środa</v>
      </c>
      <c r="D20" s="159"/>
      <c r="E20" s="117" t="str">
        <f t="shared" si="16"/>
        <v xml:space="preserve"> </v>
      </c>
      <c r="F20" s="115">
        <v>8</v>
      </c>
      <c r="G20" s="115">
        <v>16</v>
      </c>
      <c r="H20" s="55">
        <f t="shared" si="1"/>
        <v>8</v>
      </c>
      <c r="I20" s="55">
        <f t="shared" si="2"/>
        <v>0</v>
      </c>
      <c r="J20" s="56">
        <f t="shared" si="3"/>
        <v>0</v>
      </c>
      <c r="K20" s="57">
        <f t="shared" si="34"/>
        <v>1</v>
      </c>
      <c r="L20" s="57">
        <f t="shared" si="17"/>
        <v>0</v>
      </c>
      <c r="M20" s="58" t="str">
        <f t="shared" si="4"/>
        <v>przerwa1</v>
      </c>
      <c r="N20" s="57">
        <f t="shared" si="18"/>
        <v>1</v>
      </c>
      <c r="O20" s="138"/>
      <c r="P20" s="149"/>
      <c r="Q20" s="138"/>
      <c r="R20" s="8"/>
      <c r="S20" s="60">
        <f t="shared" si="5"/>
        <v>0</v>
      </c>
      <c r="T20" s="60" t="str">
        <f t="shared" si="19"/>
        <v xml:space="preserve"> </v>
      </c>
      <c r="U20" s="60" t="str">
        <f t="shared" si="20"/>
        <v xml:space="preserve"> </v>
      </c>
      <c r="W20">
        <f t="shared" si="21"/>
        <v>480</v>
      </c>
      <c r="X20">
        <f t="shared" si="22"/>
        <v>0</v>
      </c>
      <c r="Y20">
        <f t="shared" si="23"/>
        <v>480</v>
      </c>
      <c r="AD20" s="158">
        <f t="shared" si="25"/>
        <v>8</v>
      </c>
      <c r="AE20" s="158">
        <f t="shared" si="26"/>
        <v>0</v>
      </c>
      <c r="AF20" s="64">
        <f t="shared" si="27"/>
        <v>8</v>
      </c>
      <c r="AG20" s="169">
        <f t="shared" si="28"/>
        <v>16</v>
      </c>
      <c r="AH20" s="169">
        <f t="shared" si="29"/>
        <v>0</v>
      </c>
      <c r="AI20" s="64">
        <f t="shared" si="30"/>
        <v>16</v>
      </c>
      <c r="AJ20" s="169">
        <f t="shared" si="31"/>
        <v>8</v>
      </c>
      <c r="AK20" s="169">
        <f>IF(H20&lt;&gt;"",H20-AJ20,"")</f>
        <v>0</v>
      </c>
      <c r="AL20" s="64">
        <f t="shared" si="33"/>
        <v>8</v>
      </c>
    </row>
    <row r="21" spans="1:38" ht="15.75" x14ac:dyDescent="0.25">
      <c r="A21" s="2">
        <f t="shared" si="24"/>
        <v>46184</v>
      </c>
      <c r="B21" s="2">
        <f t="shared" si="15"/>
        <v>84</v>
      </c>
      <c r="C21" s="54" t="str">
        <f t="shared" si="0"/>
        <v>11.6. czwartek</v>
      </c>
      <c r="D21" s="159"/>
      <c r="E21" s="117" t="str">
        <f t="shared" si="16"/>
        <v xml:space="preserve"> </v>
      </c>
      <c r="F21" s="115">
        <v>8</v>
      </c>
      <c r="G21" s="115">
        <v>16</v>
      </c>
      <c r="H21" s="55">
        <f t="shared" si="1"/>
        <v>8</v>
      </c>
      <c r="I21" s="55">
        <f t="shared" ref="I21" si="35">IF(AND(D21="gp",F21=""),-(TRUNC(godz/1.5)+((godz/1.5)-TRUNC(godz/1.5))*60/100),IF(AND(D21="gp",F21&lt;&gt;"",G21&lt;&gt;""),ROUND(TRUNC((TRUNC(ROUND((TRUNC(H21-godz)+(((TRUNC(H21)*60)+(H21-TRUNC(H21))*100)-(godz*60)-(TRUNC(H21-godz)*60))/100),2))+((ROUND((TRUNC(H21-godz)+(((TRUNC(H21)*60)+(H21-TRUNC(H21))*100)-(godz*60)-(TRUNC(H21-godz)*60))/100),2)-TRUNC(ROUND((TRUNC(H21-godz)+(((TRUNC(H21)*60)+(H21-TRUNC(H21))*100)-(godz*60)-(TRUNC(H21-godz)*60))/100),2)))*100/60))/1.5)+(((TRUNC(ROUND((TRUNC(H21-godz)+(((TRUNC(H21)*60)+(H21-TRUNC(H21))*100)-(godz*60)-(TRUNC(H21-godz)*60))/100),2))+((ROUND((TRUNC(H21-godz)+(((TRUNC(H21)*60)+(H21-TRUNC(H21))*100)-(godz*60)-(TRUNC(H21-godz)*60))/100),2)-TRUNC(ROUND((TRUNC(H21-godz)+(((TRUNC(H21)*60)+(H21-TRUNC(H21))*100)-(godz*60)-(TRUNC(H21-godz)*60))/100),2)))*100/60))/1.5)-TRUNC((TRUNC(ROUND((TRUNC(H21-godz)+(((TRUNC(H21)*60)+(H21-TRUNC(H21))*100)-(godz*60)-(TRUNC(H21-godz)*60))/100),2))+((ROUND((TRUNC(H21-godz)+(((TRUNC(H21)*60)+(H21-TRUNC(H21))*100)-(godz*60)-(TRUNC(H21-godz)*60))/100),2)-TRUNC(ROUND((TRUNC(H21-godz)+(((TRUNC(H21)*60)+(H21-TRUNC(H21))*100)-(godz*60)-(TRUNC(H21-godz)*60))/100),2)))*100/60))/1.5))*60/100,2),IF(OR((B21=83),(D21="w"),(D21="s"),(D21="c"),(D21="a"),(D21="oc"),(D21="um"),(D21="op"),(D21="uz"),(D21="u")),"",ROUND((TRUNC(H21-godz)+(((TRUNC(H21)*60)+(H21-TRUNC(H21))*100)-(godz*60)-(TRUNC(H21-godz)*60))/100),2))))</f>
        <v>0</v>
      </c>
      <c r="J21" s="56">
        <f t="shared" ref="J21" si="36">IF(D21="gp",(TRUNC(I21)*60+(I21-TRUNC(I21))*100),IF(OR((I21=""),(B21=83)),"",IF((I21=0),0,TRUNC(H21-godz)*60+(((TRUNC(H21)*60)+(H21-TRUNC(H21))*100)-(godz*60)-(TRUNC(H21-godz)*60)))))</f>
        <v>0</v>
      </c>
      <c r="K21" s="57">
        <f t="shared" si="34"/>
        <v>1</v>
      </c>
      <c r="L21" s="57">
        <f t="shared" si="17"/>
        <v>0</v>
      </c>
      <c r="M21" s="58" t="str">
        <f t="shared" si="4"/>
        <v>przerwa1</v>
      </c>
      <c r="N21" s="57">
        <f t="shared" si="18"/>
        <v>1</v>
      </c>
      <c r="O21" s="138"/>
      <c r="P21" s="149"/>
      <c r="Q21" s="138"/>
      <c r="R21" s="8"/>
      <c r="S21" s="60">
        <f t="shared" si="5"/>
        <v>0</v>
      </c>
      <c r="T21" s="60" t="str">
        <f t="shared" si="19"/>
        <v xml:space="preserve"> </v>
      </c>
      <c r="U21" s="60" t="str">
        <f t="shared" si="20"/>
        <v xml:space="preserve"> </v>
      </c>
      <c r="W21">
        <f t="shared" si="21"/>
        <v>480</v>
      </c>
      <c r="X21">
        <f t="shared" si="22"/>
        <v>0</v>
      </c>
      <c r="Y21">
        <f t="shared" si="23"/>
        <v>480</v>
      </c>
      <c r="AD21" s="158">
        <f t="shared" si="25"/>
        <v>8</v>
      </c>
      <c r="AE21" s="158">
        <f t="shared" si="26"/>
        <v>0</v>
      </c>
      <c r="AF21" s="64">
        <f t="shared" si="27"/>
        <v>8</v>
      </c>
      <c r="AG21" s="169">
        <f t="shared" si="28"/>
        <v>16</v>
      </c>
      <c r="AH21" s="169">
        <f t="shared" si="29"/>
        <v>0</v>
      </c>
      <c r="AI21" s="64">
        <f t="shared" si="30"/>
        <v>16</v>
      </c>
      <c r="AJ21" s="169">
        <f t="shared" si="31"/>
        <v>8</v>
      </c>
      <c r="AK21" s="169">
        <f t="shared" si="32"/>
        <v>0</v>
      </c>
      <c r="AL21" s="64">
        <f t="shared" si="33"/>
        <v>8</v>
      </c>
    </row>
    <row r="22" spans="1:38" ht="15.75" x14ac:dyDescent="0.25">
      <c r="A22" s="2">
        <f t="shared" si="24"/>
        <v>46185</v>
      </c>
      <c r="B22" s="2">
        <f t="shared" si="15"/>
        <v>84</v>
      </c>
      <c r="C22" s="54" t="str">
        <f t="shared" si="0"/>
        <v>12.6. piątek</v>
      </c>
      <c r="D22" s="159"/>
      <c r="E22" s="117" t="str">
        <f t="shared" si="16"/>
        <v xml:space="preserve"> </v>
      </c>
      <c r="F22" s="115">
        <v>8</v>
      </c>
      <c r="G22" s="115">
        <v>16</v>
      </c>
      <c r="H22" s="55">
        <f t="shared" si="1"/>
        <v>8</v>
      </c>
      <c r="I22" s="55">
        <f t="shared" si="2"/>
        <v>0</v>
      </c>
      <c r="J22" s="56">
        <f t="shared" si="3"/>
        <v>0</v>
      </c>
      <c r="K22" s="57">
        <f t="shared" si="34"/>
        <v>1</v>
      </c>
      <c r="L22" s="57">
        <f t="shared" si="17"/>
        <v>0</v>
      </c>
      <c r="M22" s="58" t="str">
        <f t="shared" si="4"/>
        <v>przerwa1</v>
      </c>
      <c r="N22" s="57">
        <f t="shared" si="18"/>
        <v>1</v>
      </c>
      <c r="O22" s="138"/>
      <c r="P22" s="149"/>
      <c r="Q22" s="138"/>
      <c r="R22" s="8"/>
      <c r="S22" s="60">
        <f t="shared" si="5"/>
        <v>0</v>
      </c>
      <c r="T22" s="60" t="str">
        <f t="shared" si="19"/>
        <v xml:space="preserve"> </v>
      </c>
      <c r="U22" s="60" t="str">
        <f t="shared" si="20"/>
        <v xml:space="preserve"> </v>
      </c>
      <c r="W22">
        <f t="shared" si="21"/>
        <v>480</v>
      </c>
      <c r="X22">
        <f t="shared" si="22"/>
        <v>0</v>
      </c>
      <c r="Y22">
        <f t="shared" si="23"/>
        <v>480</v>
      </c>
      <c r="AD22" s="158">
        <f t="shared" si="25"/>
        <v>8</v>
      </c>
      <c r="AE22" s="158">
        <f t="shared" si="26"/>
        <v>0</v>
      </c>
      <c r="AF22" s="64">
        <f t="shared" si="27"/>
        <v>8</v>
      </c>
      <c r="AG22" s="169">
        <f t="shared" si="28"/>
        <v>16</v>
      </c>
      <c r="AH22" s="169">
        <f t="shared" si="29"/>
        <v>0</v>
      </c>
      <c r="AI22" s="64">
        <f t="shared" si="30"/>
        <v>16</v>
      </c>
      <c r="AJ22" s="169">
        <f t="shared" si="31"/>
        <v>8</v>
      </c>
      <c r="AK22" s="169">
        <f t="shared" si="32"/>
        <v>0</v>
      </c>
      <c r="AL22" s="64">
        <f t="shared" si="33"/>
        <v>8</v>
      </c>
    </row>
    <row r="23" spans="1:38" ht="15.75" x14ac:dyDescent="0.25">
      <c r="A23" s="2">
        <f t="shared" si="24"/>
        <v>46186</v>
      </c>
      <c r="B23" s="2">
        <f t="shared" si="15"/>
        <v>84</v>
      </c>
      <c r="C23" s="54" t="str">
        <f t="shared" si="0"/>
        <v>13.6. sobota</v>
      </c>
      <c r="D23" s="159" t="s">
        <v>47</v>
      </c>
      <c r="E23" s="117" t="str">
        <f t="shared" si="16"/>
        <v>wolne</v>
      </c>
      <c r="F23" s="115"/>
      <c r="G23" s="115"/>
      <c r="H23" s="55" t="str">
        <f t="shared" si="1"/>
        <v/>
      </c>
      <c r="I23" s="55" t="str">
        <f t="shared" si="2"/>
        <v/>
      </c>
      <c r="J23" s="56" t="str">
        <f t="shared" si="3"/>
        <v/>
      </c>
      <c r="K23" s="57">
        <f t="shared" si="34"/>
        <v>0</v>
      </c>
      <c r="L23" s="57">
        <f t="shared" si="17"/>
        <v>0</v>
      </c>
      <c r="M23" s="58" t="str">
        <f t="shared" si="4"/>
        <v>przerwa1</v>
      </c>
      <c r="N23" s="57">
        <f t="shared" si="18"/>
        <v>0</v>
      </c>
      <c r="O23" s="138"/>
      <c r="P23" s="149"/>
      <c r="Q23" s="138"/>
      <c r="R23" s="8"/>
      <c r="S23" s="60" t="str">
        <f t="shared" si="5"/>
        <v xml:space="preserve"> </v>
      </c>
      <c r="T23" s="60" t="str">
        <f t="shared" si="19"/>
        <v xml:space="preserve"> </v>
      </c>
      <c r="U23" s="60" t="str">
        <f t="shared" si="20"/>
        <v xml:space="preserve"> </v>
      </c>
      <c r="W23">
        <f t="shared" si="21"/>
        <v>0</v>
      </c>
      <c r="X23">
        <f t="shared" si="22"/>
        <v>0</v>
      </c>
      <c r="Y23">
        <f t="shared" si="23"/>
        <v>0</v>
      </c>
      <c r="AD23" s="158">
        <f t="shared" si="25"/>
        <v>0</v>
      </c>
      <c r="AE23" s="158">
        <f t="shared" si="26"/>
        <v>0</v>
      </c>
      <c r="AF23" s="64" t="str">
        <f t="shared" si="27"/>
        <v xml:space="preserve"> </v>
      </c>
      <c r="AG23" s="169">
        <f t="shared" si="28"/>
        <v>0</v>
      </c>
      <c r="AH23" s="169">
        <f t="shared" si="29"/>
        <v>0</v>
      </c>
      <c r="AI23" s="64" t="str">
        <f t="shared" si="30"/>
        <v xml:space="preserve"> </v>
      </c>
      <c r="AJ23" s="169" t="str">
        <f t="shared" si="31"/>
        <v/>
      </c>
      <c r="AK23" s="169" t="str">
        <f t="shared" si="32"/>
        <v/>
      </c>
      <c r="AL23" s="64" t="str">
        <f t="shared" si="33"/>
        <v xml:space="preserve"> </v>
      </c>
    </row>
    <row r="24" spans="1:38" ht="15.75" x14ac:dyDescent="0.25">
      <c r="A24" s="2">
        <f t="shared" si="24"/>
        <v>46187</v>
      </c>
      <c r="B24" s="2">
        <f t="shared" si="15"/>
        <v>84</v>
      </c>
      <c r="C24" s="54" t="str">
        <f t="shared" si="0"/>
        <v>14.6. niedziela</v>
      </c>
      <c r="D24" s="159" t="s">
        <v>47</v>
      </c>
      <c r="E24" s="117" t="str">
        <f t="shared" si="16"/>
        <v>wolne</v>
      </c>
      <c r="F24" s="115"/>
      <c r="G24" s="115"/>
      <c r="H24" s="55" t="str">
        <f t="shared" si="1"/>
        <v/>
      </c>
      <c r="I24" s="55" t="str">
        <f t="shared" si="2"/>
        <v/>
      </c>
      <c r="J24" s="56" t="str">
        <f t="shared" si="3"/>
        <v/>
      </c>
      <c r="K24" s="57">
        <f t="shared" si="34"/>
        <v>0</v>
      </c>
      <c r="L24" s="57">
        <f t="shared" si="17"/>
        <v>0</v>
      </c>
      <c r="M24" s="58" t="str">
        <f t="shared" si="4"/>
        <v>przerwa1</v>
      </c>
      <c r="N24" s="57">
        <f t="shared" si="18"/>
        <v>0</v>
      </c>
      <c r="O24" s="138"/>
      <c r="P24" s="149"/>
      <c r="Q24" s="138"/>
      <c r="R24" s="8"/>
      <c r="S24" s="60" t="str">
        <f t="shared" si="5"/>
        <v xml:space="preserve"> </v>
      </c>
      <c r="T24" s="60" t="str">
        <f t="shared" si="19"/>
        <v xml:space="preserve"> </v>
      </c>
      <c r="U24" s="60" t="str">
        <f t="shared" si="20"/>
        <v xml:space="preserve"> </v>
      </c>
      <c r="W24">
        <f t="shared" si="21"/>
        <v>0</v>
      </c>
      <c r="X24">
        <f t="shared" si="22"/>
        <v>0</v>
      </c>
      <c r="Y24">
        <f t="shared" si="23"/>
        <v>0</v>
      </c>
      <c r="AD24" s="158">
        <f t="shared" si="25"/>
        <v>0</v>
      </c>
      <c r="AE24" s="158">
        <f t="shared" si="26"/>
        <v>0</v>
      </c>
      <c r="AF24" s="64" t="str">
        <f t="shared" si="27"/>
        <v xml:space="preserve"> </v>
      </c>
      <c r="AG24" s="169">
        <f t="shared" si="28"/>
        <v>0</v>
      </c>
      <c r="AH24" s="169">
        <f t="shared" si="29"/>
        <v>0</v>
      </c>
      <c r="AI24" s="64" t="str">
        <f t="shared" si="30"/>
        <v xml:space="preserve"> </v>
      </c>
      <c r="AJ24" s="169" t="str">
        <f t="shared" si="31"/>
        <v/>
      </c>
      <c r="AK24" s="169" t="str">
        <f t="shared" si="32"/>
        <v/>
      </c>
      <c r="AL24" s="64" t="str">
        <f t="shared" si="33"/>
        <v xml:space="preserve"> </v>
      </c>
    </row>
    <row r="25" spans="1:38" ht="15.75" x14ac:dyDescent="0.25">
      <c r="A25" s="2">
        <f t="shared" si="24"/>
        <v>46188</v>
      </c>
      <c r="B25" s="2">
        <f t="shared" si="15"/>
        <v>84</v>
      </c>
      <c r="C25" s="54" t="str">
        <f t="shared" si="0"/>
        <v>15.6. poniedziałek</v>
      </c>
      <c r="D25" s="159"/>
      <c r="E25" s="117" t="str">
        <f t="shared" si="16"/>
        <v xml:space="preserve"> </v>
      </c>
      <c r="F25" s="115">
        <v>8</v>
      </c>
      <c r="G25" s="115">
        <v>16</v>
      </c>
      <c r="H25" s="55">
        <f t="shared" si="1"/>
        <v>8</v>
      </c>
      <c r="I25" s="55">
        <f t="shared" si="2"/>
        <v>0</v>
      </c>
      <c r="J25" s="56">
        <f t="shared" si="3"/>
        <v>0</v>
      </c>
      <c r="K25" s="57">
        <f t="shared" si="34"/>
        <v>1</v>
      </c>
      <c r="L25" s="57">
        <f t="shared" si="17"/>
        <v>0</v>
      </c>
      <c r="M25" s="58" t="str">
        <f t="shared" si="4"/>
        <v>przerwa1</v>
      </c>
      <c r="N25" s="57">
        <f t="shared" si="18"/>
        <v>1</v>
      </c>
      <c r="O25" s="138"/>
      <c r="P25" s="149"/>
      <c r="Q25" s="138"/>
      <c r="R25" s="8"/>
      <c r="S25" s="60">
        <f t="shared" si="5"/>
        <v>0</v>
      </c>
      <c r="T25" s="60" t="str">
        <f t="shared" si="19"/>
        <v xml:space="preserve"> </v>
      </c>
      <c r="U25" s="60" t="str">
        <f t="shared" si="20"/>
        <v xml:space="preserve"> </v>
      </c>
      <c r="W25">
        <f t="shared" si="21"/>
        <v>480</v>
      </c>
      <c r="X25">
        <f t="shared" si="22"/>
        <v>0</v>
      </c>
      <c r="Y25">
        <f t="shared" si="23"/>
        <v>480</v>
      </c>
      <c r="AD25" s="158">
        <f t="shared" si="25"/>
        <v>8</v>
      </c>
      <c r="AE25" s="158">
        <f t="shared" si="26"/>
        <v>0</v>
      </c>
      <c r="AF25" s="64">
        <f t="shared" si="27"/>
        <v>8</v>
      </c>
      <c r="AG25" s="169">
        <f t="shared" si="28"/>
        <v>16</v>
      </c>
      <c r="AH25" s="169">
        <f t="shared" si="29"/>
        <v>0</v>
      </c>
      <c r="AI25" s="64">
        <f t="shared" si="30"/>
        <v>16</v>
      </c>
      <c r="AJ25" s="169">
        <f t="shared" si="31"/>
        <v>8</v>
      </c>
      <c r="AK25" s="169">
        <f t="shared" si="32"/>
        <v>0</v>
      </c>
      <c r="AL25" s="64">
        <f t="shared" si="33"/>
        <v>8</v>
      </c>
    </row>
    <row r="26" spans="1:38" ht="15.75" x14ac:dyDescent="0.25">
      <c r="A26" s="2">
        <f t="shared" si="24"/>
        <v>46189</v>
      </c>
      <c r="B26" s="2">
        <f t="shared" si="15"/>
        <v>84</v>
      </c>
      <c r="C26" s="54" t="str">
        <f t="shared" si="0"/>
        <v>16.6. wtorek</v>
      </c>
      <c r="D26" s="159"/>
      <c r="E26" s="117" t="str">
        <f t="shared" si="16"/>
        <v xml:space="preserve"> </v>
      </c>
      <c r="F26" s="115">
        <v>8</v>
      </c>
      <c r="G26" s="115">
        <v>16</v>
      </c>
      <c r="H26" s="55">
        <f t="shared" si="1"/>
        <v>8</v>
      </c>
      <c r="I26" s="55">
        <f t="shared" si="2"/>
        <v>0</v>
      </c>
      <c r="J26" s="56">
        <f t="shared" si="3"/>
        <v>0</v>
      </c>
      <c r="K26" s="57">
        <f t="shared" si="34"/>
        <v>1</v>
      </c>
      <c r="L26" s="57">
        <f t="shared" si="17"/>
        <v>0</v>
      </c>
      <c r="M26" s="58" t="str">
        <f t="shared" si="4"/>
        <v>przerwa1</v>
      </c>
      <c r="N26" s="57">
        <f t="shared" si="18"/>
        <v>1</v>
      </c>
      <c r="O26" s="138"/>
      <c r="P26" s="149"/>
      <c r="Q26" s="138"/>
      <c r="R26" s="8"/>
      <c r="S26" s="60">
        <f t="shared" si="5"/>
        <v>0</v>
      </c>
      <c r="T26" s="60" t="str">
        <f t="shared" si="19"/>
        <v xml:space="preserve"> </v>
      </c>
      <c r="U26" s="60" t="str">
        <f t="shared" si="20"/>
        <v xml:space="preserve"> </v>
      </c>
      <c r="W26">
        <f t="shared" si="21"/>
        <v>480</v>
      </c>
      <c r="X26">
        <f t="shared" si="22"/>
        <v>0</v>
      </c>
      <c r="Y26">
        <f t="shared" si="23"/>
        <v>480</v>
      </c>
      <c r="AD26" s="158">
        <f t="shared" si="25"/>
        <v>8</v>
      </c>
      <c r="AE26" s="158">
        <f t="shared" si="26"/>
        <v>0</v>
      </c>
      <c r="AF26" s="64">
        <f t="shared" si="27"/>
        <v>8</v>
      </c>
      <c r="AG26" s="169">
        <f t="shared" si="28"/>
        <v>16</v>
      </c>
      <c r="AH26" s="169">
        <f t="shared" si="29"/>
        <v>0</v>
      </c>
      <c r="AI26" s="64">
        <f t="shared" si="30"/>
        <v>16</v>
      </c>
      <c r="AJ26" s="169">
        <f t="shared" si="31"/>
        <v>8</v>
      </c>
      <c r="AK26" s="169">
        <f t="shared" si="32"/>
        <v>0</v>
      </c>
      <c r="AL26" s="64">
        <f t="shared" si="33"/>
        <v>8</v>
      </c>
    </row>
    <row r="27" spans="1:38" ht="15.75" x14ac:dyDescent="0.25">
      <c r="A27" s="2">
        <f t="shared" si="24"/>
        <v>46190</v>
      </c>
      <c r="B27" s="2">
        <f t="shared" si="15"/>
        <v>84</v>
      </c>
      <c r="C27" s="54" t="str">
        <f t="shared" si="0"/>
        <v>17.6. środa</v>
      </c>
      <c r="D27" s="159"/>
      <c r="E27" s="117" t="str">
        <f t="shared" si="16"/>
        <v xml:space="preserve"> </v>
      </c>
      <c r="F27" s="115">
        <v>8</v>
      </c>
      <c r="G27" s="115">
        <v>16</v>
      </c>
      <c r="H27" s="55">
        <f t="shared" si="1"/>
        <v>8</v>
      </c>
      <c r="I27" s="55">
        <f t="shared" si="2"/>
        <v>0</v>
      </c>
      <c r="J27" s="56">
        <f t="shared" si="3"/>
        <v>0</v>
      </c>
      <c r="K27" s="57">
        <f t="shared" si="34"/>
        <v>1</v>
      </c>
      <c r="L27" s="57">
        <f t="shared" si="17"/>
        <v>0</v>
      </c>
      <c r="M27" s="58" t="str">
        <f t="shared" si="4"/>
        <v>przerwa1</v>
      </c>
      <c r="N27" s="57">
        <f t="shared" si="18"/>
        <v>1</v>
      </c>
      <c r="O27" s="138"/>
      <c r="P27" s="149"/>
      <c r="Q27" s="138"/>
      <c r="R27" s="8"/>
      <c r="S27" s="60">
        <f t="shared" si="5"/>
        <v>0</v>
      </c>
      <c r="T27" s="60" t="str">
        <f t="shared" si="19"/>
        <v xml:space="preserve"> </v>
      </c>
      <c r="U27" s="60" t="str">
        <f t="shared" si="20"/>
        <v xml:space="preserve"> </v>
      </c>
      <c r="W27">
        <f t="shared" si="21"/>
        <v>480</v>
      </c>
      <c r="X27">
        <f t="shared" si="22"/>
        <v>0</v>
      </c>
      <c r="Y27">
        <f t="shared" si="23"/>
        <v>480</v>
      </c>
      <c r="AD27" s="158">
        <f t="shared" si="25"/>
        <v>8</v>
      </c>
      <c r="AE27" s="158">
        <f t="shared" si="26"/>
        <v>0</v>
      </c>
      <c r="AF27" s="64">
        <f t="shared" si="27"/>
        <v>8</v>
      </c>
      <c r="AG27" s="169">
        <f t="shared" si="28"/>
        <v>16</v>
      </c>
      <c r="AH27" s="169">
        <f t="shared" si="29"/>
        <v>0</v>
      </c>
      <c r="AI27" s="64">
        <f t="shared" si="30"/>
        <v>16</v>
      </c>
      <c r="AJ27" s="169">
        <f t="shared" si="31"/>
        <v>8</v>
      </c>
      <c r="AK27" s="169">
        <f t="shared" si="32"/>
        <v>0</v>
      </c>
      <c r="AL27" s="64">
        <f t="shared" si="33"/>
        <v>8</v>
      </c>
    </row>
    <row r="28" spans="1:38" ht="15.75" x14ac:dyDescent="0.25">
      <c r="A28" s="2">
        <f t="shared" si="24"/>
        <v>46191</v>
      </c>
      <c r="B28" s="2">
        <f t="shared" si="15"/>
        <v>84</v>
      </c>
      <c r="C28" s="54" t="str">
        <f t="shared" si="0"/>
        <v>18.6. czwartek</v>
      </c>
      <c r="D28" s="159"/>
      <c r="E28" s="117" t="str">
        <f t="shared" si="16"/>
        <v xml:space="preserve"> </v>
      </c>
      <c r="F28" s="115">
        <v>8</v>
      </c>
      <c r="G28" s="115">
        <v>16</v>
      </c>
      <c r="H28" s="55">
        <f t="shared" si="1"/>
        <v>8</v>
      </c>
      <c r="I28" s="55">
        <f t="shared" si="2"/>
        <v>0</v>
      </c>
      <c r="J28" s="56">
        <f t="shared" si="3"/>
        <v>0</v>
      </c>
      <c r="K28" s="57">
        <f t="shared" si="34"/>
        <v>1</v>
      </c>
      <c r="L28" s="57">
        <f t="shared" si="17"/>
        <v>0</v>
      </c>
      <c r="M28" s="58" t="str">
        <f t="shared" si="4"/>
        <v>przerwa1</v>
      </c>
      <c r="N28" s="57">
        <f t="shared" si="18"/>
        <v>1</v>
      </c>
      <c r="O28" s="138"/>
      <c r="P28" s="149"/>
      <c r="Q28" s="138"/>
      <c r="R28" s="8"/>
      <c r="S28" s="60">
        <f t="shared" si="5"/>
        <v>0</v>
      </c>
      <c r="T28" s="60" t="str">
        <f t="shared" si="19"/>
        <v xml:space="preserve"> </v>
      </c>
      <c r="U28" s="60" t="str">
        <f t="shared" si="20"/>
        <v xml:space="preserve"> </v>
      </c>
      <c r="W28">
        <f t="shared" si="21"/>
        <v>480</v>
      </c>
      <c r="X28">
        <f t="shared" si="22"/>
        <v>0</v>
      </c>
      <c r="Y28">
        <f t="shared" si="23"/>
        <v>480</v>
      </c>
      <c r="AD28" s="158">
        <f t="shared" si="25"/>
        <v>8</v>
      </c>
      <c r="AE28" s="158">
        <f t="shared" si="26"/>
        <v>0</v>
      </c>
      <c r="AF28" s="64">
        <f t="shared" si="27"/>
        <v>8</v>
      </c>
      <c r="AG28" s="169">
        <f t="shared" si="28"/>
        <v>16</v>
      </c>
      <c r="AH28" s="169">
        <f t="shared" si="29"/>
        <v>0</v>
      </c>
      <c r="AI28" s="64">
        <f t="shared" si="30"/>
        <v>16</v>
      </c>
      <c r="AJ28" s="169">
        <f t="shared" si="31"/>
        <v>8</v>
      </c>
      <c r="AK28" s="169">
        <f t="shared" si="32"/>
        <v>0</v>
      </c>
      <c r="AL28" s="64">
        <f t="shared" si="33"/>
        <v>8</v>
      </c>
    </row>
    <row r="29" spans="1:38" ht="15.75" x14ac:dyDescent="0.25">
      <c r="A29" s="2">
        <f t="shared" si="24"/>
        <v>46192</v>
      </c>
      <c r="B29" s="2">
        <f t="shared" si="15"/>
        <v>84</v>
      </c>
      <c r="C29" s="54" t="str">
        <f t="shared" si="0"/>
        <v>19.6. piątek</v>
      </c>
      <c r="D29" s="159"/>
      <c r="E29" s="117" t="str">
        <f t="shared" si="16"/>
        <v xml:space="preserve"> </v>
      </c>
      <c r="F29" s="115">
        <v>8</v>
      </c>
      <c r="G29" s="115">
        <v>16</v>
      </c>
      <c r="H29" s="55">
        <f t="shared" si="1"/>
        <v>8</v>
      </c>
      <c r="I29" s="55">
        <f t="shared" si="2"/>
        <v>0</v>
      </c>
      <c r="J29" s="56">
        <f t="shared" si="3"/>
        <v>0</v>
      </c>
      <c r="K29" s="57">
        <f t="shared" si="34"/>
        <v>1</v>
      </c>
      <c r="L29" s="57">
        <f t="shared" si="17"/>
        <v>0</v>
      </c>
      <c r="M29" s="58" t="str">
        <f t="shared" si="4"/>
        <v>przerwa1</v>
      </c>
      <c r="N29" s="57">
        <f t="shared" si="18"/>
        <v>1</v>
      </c>
      <c r="O29" s="138"/>
      <c r="P29" s="149"/>
      <c r="Q29" s="138"/>
      <c r="R29" s="8"/>
      <c r="S29" s="60">
        <f t="shared" si="5"/>
        <v>0</v>
      </c>
      <c r="T29" s="60" t="str">
        <f t="shared" si="19"/>
        <v xml:space="preserve"> </v>
      </c>
      <c r="U29" s="60" t="str">
        <f t="shared" si="20"/>
        <v xml:space="preserve"> </v>
      </c>
      <c r="W29">
        <f t="shared" si="21"/>
        <v>480</v>
      </c>
      <c r="X29">
        <f t="shared" si="22"/>
        <v>0</v>
      </c>
      <c r="Y29">
        <f t="shared" si="23"/>
        <v>480</v>
      </c>
      <c r="AD29" s="158">
        <f t="shared" si="25"/>
        <v>8</v>
      </c>
      <c r="AE29" s="158">
        <f t="shared" si="26"/>
        <v>0</v>
      </c>
      <c r="AF29" s="64">
        <f t="shared" si="27"/>
        <v>8</v>
      </c>
      <c r="AG29" s="169">
        <f t="shared" si="28"/>
        <v>16</v>
      </c>
      <c r="AH29" s="169">
        <f t="shared" si="29"/>
        <v>0</v>
      </c>
      <c r="AI29" s="64">
        <f t="shared" si="30"/>
        <v>16</v>
      </c>
      <c r="AJ29" s="169">
        <f t="shared" si="31"/>
        <v>8</v>
      </c>
      <c r="AK29" s="169">
        <f t="shared" si="32"/>
        <v>0</v>
      </c>
      <c r="AL29" s="64">
        <f t="shared" si="33"/>
        <v>8</v>
      </c>
    </row>
    <row r="30" spans="1:38" ht="15.75" x14ac:dyDescent="0.25">
      <c r="A30" s="2">
        <f t="shared" si="24"/>
        <v>46193</v>
      </c>
      <c r="B30" s="2">
        <f t="shared" si="15"/>
        <v>84</v>
      </c>
      <c r="C30" s="54" t="str">
        <f t="shared" si="0"/>
        <v>20.6. sobota</v>
      </c>
      <c r="D30" s="159" t="s">
        <v>47</v>
      </c>
      <c r="E30" s="117" t="str">
        <f t="shared" si="16"/>
        <v>wolne</v>
      </c>
      <c r="F30" s="115"/>
      <c r="G30" s="115"/>
      <c r="H30" s="55" t="str">
        <f t="shared" si="1"/>
        <v/>
      </c>
      <c r="I30" s="55" t="str">
        <f t="shared" si="2"/>
        <v/>
      </c>
      <c r="J30" s="56" t="str">
        <f t="shared" si="3"/>
        <v/>
      </c>
      <c r="K30" s="57">
        <f t="shared" si="34"/>
        <v>0</v>
      </c>
      <c r="L30" s="57">
        <f t="shared" si="17"/>
        <v>0</v>
      </c>
      <c r="M30" s="58" t="str">
        <f t="shared" si="4"/>
        <v>przerwa1</v>
      </c>
      <c r="N30" s="57">
        <f t="shared" si="18"/>
        <v>0</v>
      </c>
      <c r="O30" s="138"/>
      <c r="P30" s="149"/>
      <c r="Q30" s="138"/>
      <c r="R30" s="8"/>
      <c r="S30" s="60" t="str">
        <f t="shared" si="5"/>
        <v xml:space="preserve"> </v>
      </c>
      <c r="T30" s="60" t="str">
        <f t="shared" si="19"/>
        <v xml:space="preserve"> </v>
      </c>
      <c r="U30" s="60" t="str">
        <f t="shared" si="20"/>
        <v xml:space="preserve"> </v>
      </c>
      <c r="W30">
        <f t="shared" si="21"/>
        <v>0</v>
      </c>
      <c r="X30">
        <f t="shared" si="22"/>
        <v>0</v>
      </c>
      <c r="Y30">
        <f t="shared" si="23"/>
        <v>0</v>
      </c>
      <c r="AD30" s="158">
        <f t="shared" si="25"/>
        <v>0</v>
      </c>
      <c r="AE30" s="158">
        <f t="shared" si="26"/>
        <v>0</v>
      </c>
      <c r="AF30" s="64" t="str">
        <f t="shared" si="27"/>
        <v xml:space="preserve"> </v>
      </c>
      <c r="AG30" s="169">
        <f t="shared" si="28"/>
        <v>0</v>
      </c>
      <c r="AH30" s="169">
        <f t="shared" si="29"/>
        <v>0</v>
      </c>
      <c r="AI30" s="64" t="str">
        <f t="shared" si="30"/>
        <v xml:space="preserve"> </v>
      </c>
      <c r="AJ30" s="169" t="str">
        <f t="shared" si="31"/>
        <v/>
      </c>
      <c r="AK30" s="169" t="str">
        <f t="shared" si="32"/>
        <v/>
      </c>
      <c r="AL30" s="64" t="str">
        <f t="shared" si="33"/>
        <v xml:space="preserve"> </v>
      </c>
    </row>
    <row r="31" spans="1:38" ht="15.75" x14ac:dyDescent="0.25">
      <c r="A31" s="2">
        <f t="shared" si="24"/>
        <v>46194</v>
      </c>
      <c r="B31" s="2">
        <f t="shared" si="15"/>
        <v>84</v>
      </c>
      <c r="C31" s="54" t="str">
        <f t="shared" si="0"/>
        <v>21.6. niedziela</v>
      </c>
      <c r="D31" s="159" t="s">
        <v>47</v>
      </c>
      <c r="E31" s="117" t="str">
        <f t="shared" si="16"/>
        <v>wolne</v>
      </c>
      <c r="F31" s="115"/>
      <c r="G31" s="115"/>
      <c r="H31" s="55" t="str">
        <f t="shared" si="1"/>
        <v/>
      </c>
      <c r="I31" s="55" t="str">
        <f t="shared" si="2"/>
        <v/>
      </c>
      <c r="J31" s="56" t="str">
        <f t="shared" si="3"/>
        <v/>
      </c>
      <c r="K31" s="57">
        <f t="shared" si="34"/>
        <v>0</v>
      </c>
      <c r="L31" s="57">
        <f t="shared" si="17"/>
        <v>0</v>
      </c>
      <c r="M31" s="58" t="str">
        <f t="shared" si="4"/>
        <v>przerwa1</v>
      </c>
      <c r="N31" s="57">
        <f t="shared" si="18"/>
        <v>0</v>
      </c>
      <c r="O31" s="138"/>
      <c r="P31" s="149"/>
      <c r="Q31" s="138"/>
      <c r="R31" s="8"/>
      <c r="S31" s="60" t="str">
        <f t="shared" si="5"/>
        <v xml:space="preserve"> </v>
      </c>
      <c r="T31" s="60" t="str">
        <f t="shared" si="19"/>
        <v xml:space="preserve"> </v>
      </c>
      <c r="U31" s="60" t="str">
        <f t="shared" si="20"/>
        <v xml:space="preserve"> </v>
      </c>
      <c r="W31">
        <f t="shared" si="21"/>
        <v>0</v>
      </c>
      <c r="X31">
        <f t="shared" si="22"/>
        <v>0</v>
      </c>
      <c r="Y31">
        <f t="shared" si="23"/>
        <v>0</v>
      </c>
      <c r="AD31" s="158">
        <f t="shared" si="25"/>
        <v>0</v>
      </c>
      <c r="AE31" s="158">
        <f t="shared" si="26"/>
        <v>0</v>
      </c>
      <c r="AF31" s="64" t="str">
        <f t="shared" si="27"/>
        <v xml:space="preserve"> </v>
      </c>
      <c r="AG31" s="169">
        <f t="shared" si="28"/>
        <v>0</v>
      </c>
      <c r="AH31" s="169">
        <f t="shared" si="29"/>
        <v>0</v>
      </c>
      <c r="AI31" s="64" t="str">
        <f t="shared" si="30"/>
        <v xml:space="preserve"> </v>
      </c>
      <c r="AJ31" s="169" t="str">
        <f t="shared" si="31"/>
        <v/>
      </c>
      <c r="AK31" s="169" t="str">
        <f t="shared" si="32"/>
        <v/>
      </c>
      <c r="AL31" s="64" t="str">
        <f t="shared" si="33"/>
        <v xml:space="preserve"> </v>
      </c>
    </row>
    <row r="32" spans="1:38" ht="15.75" x14ac:dyDescent="0.25">
      <c r="A32" s="2">
        <f t="shared" si="24"/>
        <v>46195</v>
      </c>
      <c r="B32" s="2">
        <f t="shared" si="15"/>
        <v>84</v>
      </c>
      <c r="C32" s="54" t="str">
        <f t="shared" si="0"/>
        <v>22.6. poniedziałek</v>
      </c>
      <c r="D32" s="159"/>
      <c r="E32" s="117" t="str">
        <f t="shared" si="16"/>
        <v xml:space="preserve"> </v>
      </c>
      <c r="F32" s="115">
        <v>8</v>
      </c>
      <c r="G32" s="115">
        <v>16</v>
      </c>
      <c r="H32" s="55">
        <f t="shared" si="1"/>
        <v>8</v>
      </c>
      <c r="I32" s="55">
        <f t="shared" si="2"/>
        <v>0</v>
      </c>
      <c r="J32" s="56">
        <f t="shared" si="3"/>
        <v>0</v>
      </c>
      <c r="K32" s="57">
        <f t="shared" si="34"/>
        <v>1</v>
      </c>
      <c r="L32" s="57">
        <f t="shared" si="17"/>
        <v>0</v>
      </c>
      <c r="M32" s="58" t="str">
        <f t="shared" si="4"/>
        <v>przerwa1</v>
      </c>
      <c r="N32" s="57">
        <f t="shared" si="18"/>
        <v>1</v>
      </c>
      <c r="O32" s="138"/>
      <c r="P32" s="149"/>
      <c r="Q32" s="138"/>
      <c r="R32" s="8"/>
      <c r="S32" s="60">
        <f t="shared" si="5"/>
        <v>0</v>
      </c>
      <c r="T32" s="60" t="str">
        <f t="shared" si="19"/>
        <v xml:space="preserve"> </v>
      </c>
      <c r="U32" s="60" t="str">
        <f t="shared" si="20"/>
        <v xml:space="preserve"> </v>
      </c>
      <c r="W32">
        <f t="shared" si="21"/>
        <v>480</v>
      </c>
      <c r="X32">
        <f t="shared" si="22"/>
        <v>0</v>
      </c>
      <c r="Y32">
        <f t="shared" si="23"/>
        <v>480</v>
      </c>
      <c r="AD32" s="158">
        <f t="shared" si="25"/>
        <v>8</v>
      </c>
      <c r="AE32" s="158">
        <f t="shared" si="26"/>
        <v>0</v>
      </c>
      <c r="AF32" s="64">
        <f t="shared" si="27"/>
        <v>8</v>
      </c>
      <c r="AG32" s="169">
        <f t="shared" si="28"/>
        <v>16</v>
      </c>
      <c r="AH32" s="169">
        <f t="shared" si="29"/>
        <v>0</v>
      </c>
      <c r="AI32" s="64">
        <f t="shared" si="30"/>
        <v>16</v>
      </c>
      <c r="AJ32" s="169">
        <f t="shared" si="31"/>
        <v>8</v>
      </c>
      <c r="AK32" s="169">
        <f t="shared" si="32"/>
        <v>0</v>
      </c>
      <c r="AL32" s="64">
        <f t="shared" si="33"/>
        <v>8</v>
      </c>
    </row>
    <row r="33" spans="1:38" ht="15.75" x14ac:dyDescent="0.25">
      <c r="A33" s="2">
        <f t="shared" si="24"/>
        <v>46196</v>
      </c>
      <c r="B33" s="2">
        <f t="shared" si="15"/>
        <v>84</v>
      </c>
      <c r="C33" s="54" t="str">
        <f t="shared" si="0"/>
        <v>23.6. wtorek</v>
      </c>
      <c r="D33" s="159"/>
      <c r="E33" s="117" t="str">
        <f t="shared" si="16"/>
        <v xml:space="preserve"> </v>
      </c>
      <c r="F33" s="115">
        <v>8</v>
      </c>
      <c r="G33" s="115">
        <v>16</v>
      </c>
      <c r="H33" s="55">
        <f t="shared" si="1"/>
        <v>8</v>
      </c>
      <c r="I33" s="55">
        <f t="shared" si="2"/>
        <v>0</v>
      </c>
      <c r="J33" s="56">
        <f t="shared" si="3"/>
        <v>0</v>
      </c>
      <c r="K33" s="57">
        <f t="shared" si="34"/>
        <v>1</v>
      </c>
      <c r="L33" s="57">
        <f t="shared" si="17"/>
        <v>0</v>
      </c>
      <c r="M33" s="58" t="str">
        <f t="shared" si="4"/>
        <v>przerwa1</v>
      </c>
      <c r="N33" s="57">
        <f t="shared" si="18"/>
        <v>1</v>
      </c>
      <c r="O33" s="138"/>
      <c r="P33" s="149"/>
      <c r="Q33" s="138"/>
      <c r="R33" s="8"/>
      <c r="S33" s="60">
        <f t="shared" si="5"/>
        <v>0</v>
      </c>
      <c r="T33" s="60" t="str">
        <f t="shared" si="19"/>
        <v xml:space="preserve"> </v>
      </c>
      <c r="U33" s="60" t="str">
        <f t="shared" si="20"/>
        <v xml:space="preserve"> </v>
      </c>
      <c r="W33">
        <f t="shared" si="21"/>
        <v>480</v>
      </c>
      <c r="X33">
        <f t="shared" si="22"/>
        <v>0</v>
      </c>
      <c r="Y33">
        <f t="shared" si="23"/>
        <v>480</v>
      </c>
      <c r="AD33" s="158">
        <f t="shared" si="25"/>
        <v>8</v>
      </c>
      <c r="AE33" s="158">
        <f t="shared" si="26"/>
        <v>0</v>
      </c>
      <c r="AF33" s="64">
        <f t="shared" si="27"/>
        <v>8</v>
      </c>
      <c r="AG33" s="169">
        <f t="shared" si="28"/>
        <v>16</v>
      </c>
      <c r="AH33" s="169">
        <f t="shared" si="29"/>
        <v>0</v>
      </c>
      <c r="AI33" s="64">
        <f t="shared" si="30"/>
        <v>16</v>
      </c>
      <c r="AJ33" s="169">
        <f t="shared" si="31"/>
        <v>8</v>
      </c>
      <c r="AK33" s="169">
        <f t="shared" si="32"/>
        <v>0</v>
      </c>
      <c r="AL33" s="64">
        <f t="shared" si="33"/>
        <v>8</v>
      </c>
    </row>
    <row r="34" spans="1:38" ht="15.75" x14ac:dyDescent="0.25">
      <c r="A34" s="2">
        <f t="shared" si="24"/>
        <v>46197</v>
      </c>
      <c r="B34" s="2">
        <f t="shared" si="15"/>
        <v>84</v>
      </c>
      <c r="C34" s="54" t="str">
        <f t="shared" si="0"/>
        <v>24.6. środa</v>
      </c>
      <c r="D34" s="159"/>
      <c r="E34" s="117" t="str">
        <f t="shared" si="16"/>
        <v xml:space="preserve"> </v>
      </c>
      <c r="F34" s="115">
        <v>8</v>
      </c>
      <c r="G34" s="115">
        <v>16</v>
      </c>
      <c r="H34" s="55">
        <f t="shared" si="1"/>
        <v>8</v>
      </c>
      <c r="I34" s="55">
        <f t="shared" si="2"/>
        <v>0</v>
      </c>
      <c r="J34" s="56">
        <f t="shared" si="3"/>
        <v>0</v>
      </c>
      <c r="K34" s="57">
        <f t="shared" si="34"/>
        <v>1</v>
      </c>
      <c r="L34" s="57">
        <f t="shared" si="17"/>
        <v>0</v>
      </c>
      <c r="M34" s="58" t="str">
        <f t="shared" si="4"/>
        <v>przerwa1</v>
      </c>
      <c r="N34" s="57">
        <f t="shared" si="18"/>
        <v>1</v>
      </c>
      <c r="O34" s="138"/>
      <c r="P34" s="149"/>
      <c r="Q34" s="138"/>
      <c r="R34" s="8"/>
      <c r="S34" s="60">
        <f t="shared" si="5"/>
        <v>0</v>
      </c>
      <c r="T34" s="60" t="str">
        <f t="shared" si="19"/>
        <v xml:space="preserve"> </v>
      </c>
      <c r="U34" s="60" t="str">
        <f t="shared" si="20"/>
        <v xml:space="preserve"> </v>
      </c>
      <c r="W34">
        <f t="shared" si="21"/>
        <v>480</v>
      </c>
      <c r="X34">
        <f t="shared" si="22"/>
        <v>0</v>
      </c>
      <c r="Y34">
        <f t="shared" si="23"/>
        <v>480</v>
      </c>
      <c r="AD34" s="158">
        <f t="shared" si="25"/>
        <v>8</v>
      </c>
      <c r="AE34" s="158">
        <f t="shared" si="26"/>
        <v>0</v>
      </c>
      <c r="AF34" s="64">
        <f t="shared" si="27"/>
        <v>8</v>
      </c>
      <c r="AG34" s="169">
        <f t="shared" si="28"/>
        <v>16</v>
      </c>
      <c r="AH34" s="169">
        <f t="shared" si="29"/>
        <v>0</v>
      </c>
      <c r="AI34" s="64">
        <f t="shared" si="30"/>
        <v>16</v>
      </c>
      <c r="AJ34" s="169">
        <f t="shared" si="31"/>
        <v>8</v>
      </c>
      <c r="AK34" s="169">
        <f t="shared" si="32"/>
        <v>0</v>
      </c>
      <c r="AL34" s="64">
        <f t="shared" si="33"/>
        <v>8</v>
      </c>
    </row>
    <row r="35" spans="1:38" ht="15.75" x14ac:dyDescent="0.25">
      <c r="A35" s="2">
        <f t="shared" si="24"/>
        <v>46198</v>
      </c>
      <c r="B35" s="2">
        <f t="shared" si="15"/>
        <v>84</v>
      </c>
      <c r="C35" s="54" t="str">
        <f t="shared" si="0"/>
        <v>25.6. czwartek</v>
      </c>
      <c r="D35" s="159"/>
      <c r="E35" s="117" t="str">
        <f t="shared" si="16"/>
        <v xml:space="preserve"> </v>
      </c>
      <c r="F35" s="115">
        <v>8</v>
      </c>
      <c r="G35" s="115">
        <v>16</v>
      </c>
      <c r="H35" s="55">
        <f t="shared" si="1"/>
        <v>8</v>
      </c>
      <c r="I35" s="55">
        <f t="shared" si="2"/>
        <v>0</v>
      </c>
      <c r="J35" s="56">
        <f t="shared" si="3"/>
        <v>0</v>
      </c>
      <c r="K35" s="57">
        <f t="shared" si="34"/>
        <v>1</v>
      </c>
      <c r="L35" s="57">
        <f t="shared" si="17"/>
        <v>0</v>
      </c>
      <c r="M35" s="58" t="str">
        <f t="shared" si="4"/>
        <v>przerwa1</v>
      </c>
      <c r="N35" s="57">
        <f t="shared" si="18"/>
        <v>1</v>
      </c>
      <c r="O35" s="138"/>
      <c r="P35" s="149"/>
      <c r="Q35" s="138"/>
      <c r="R35" s="8"/>
      <c r="S35" s="60">
        <f t="shared" si="5"/>
        <v>0</v>
      </c>
      <c r="T35" s="60" t="str">
        <f t="shared" si="19"/>
        <v xml:space="preserve"> </v>
      </c>
      <c r="U35" s="60" t="str">
        <f t="shared" si="20"/>
        <v xml:space="preserve"> </v>
      </c>
      <c r="W35">
        <f t="shared" si="21"/>
        <v>480</v>
      </c>
      <c r="X35">
        <f t="shared" si="22"/>
        <v>0</v>
      </c>
      <c r="Y35">
        <f t="shared" si="23"/>
        <v>480</v>
      </c>
      <c r="AD35" s="158">
        <f t="shared" si="25"/>
        <v>8</v>
      </c>
      <c r="AE35" s="158">
        <f t="shared" si="26"/>
        <v>0</v>
      </c>
      <c r="AF35" s="64">
        <f t="shared" si="27"/>
        <v>8</v>
      </c>
      <c r="AG35" s="169">
        <f t="shared" si="28"/>
        <v>16</v>
      </c>
      <c r="AH35" s="169">
        <f t="shared" si="29"/>
        <v>0</v>
      </c>
      <c r="AI35" s="64">
        <f t="shared" si="30"/>
        <v>16</v>
      </c>
      <c r="AJ35" s="169">
        <f t="shared" si="31"/>
        <v>8</v>
      </c>
      <c r="AK35" s="169">
        <f t="shared" si="32"/>
        <v>0</v>
      </c>
      <c r="AL35" s="64">
        <f t="shared" si="33"/>
        <v>8</v>
      </c>
    </row>
    <row r="36" spans="1:38" ht="15.75" x14ac:dyDescent="0.25">
      <c r="A36" s="2">
        <f t="shared" si="24"/>
        <v>46199</v>
      </c>
      <c r="B36" s="2">
        <f t="shared" si="15"/>
        <v>84</v>
      </c>
      <c r="C36" s="54" t="str">
        <f t="shared" si="0"/>
        <v>26.6. piątek</v>
      </c>
      <c r="D36" s="159"/>
      <c r="E36" s="117" t="str">
        <f t="shared" si="16"/>
        <v xml:space="preserve"> </v>
      </c>
      <c r="F36" s="115">
        <v>8</v>
      </c>
      <c r="G36" s="115">
        <v>16</v>
      </c>
      <c r="H36" s="55">
        <f t="shared" si="1"/>
        <v>8</v>
      </c>
      <c r="I36" s="55">
        <f t="shared" si="2"/>
        <v>0</v>
      </c>
      <c r="J36" s="56">
        <f t="shared" si="3"/>
        <v>0</v>
      </c>
      <c r="K36" s="57">
        <f t="shared" si="34"/>
        <v>1</v>
      </c>
      <c r="L36" s="57">
        <f t="shared" si="17"/>
        <v>0</v>
      </c>
      <c r="M36" s="58" t="str">
        <f t="shared" si="4"/>
        <v>przerwa1</v>
      </c>
      <c r="N36" s="57">
        <f t="shared" si="18"/>
        <v>1</v>
      </c>
      <c r="O36" s="138"/>
      <c r="P36" s="149"/>
      <c r="Q36" s="138"/>
      <c r="R36" s="8"/>
      <c r="S36" s="60">
        <f t="shared" si="5"/>
        <v>0</v>
      </c>
      <c r="T36" s="60" t="str">
        <f t="shared" si="19"/>
        <v xml:space="preserve"> </v>
      </c>
      <c r="U36" s="60" t="str">
        <f t="shared" si="20"/>
        <v xml:space="preserve"> </v>
      </c>
      <c r="W36">
        <f t="shared" si="21"/>
        <v>480</v>
      </c>
      <c r="X36">
        <f t="shared" si="22"/>
        <v>0</v>
      </c>
      <c r="Y36">
        <f t="shared" si="23"/>
        <v>480</v>
      </c>
      <c r="AD36" s="158">
        <f t="shared" si="25"/>
        <v>8</v>
      </c>
      <c r="AE36" s="158">
        <f t="shared" si="26"/>
        <v>0</v>
      </c>
      <c r="AF36" s="64">
        <f t="shared" si="27"/>
        <v>8</v>
      </c>
      <c r="AG36" s="169">
        <f t="shared" si="28"/>
        <v>16</v>
      </c>
      <c r="AH36" s="169">
        <f t="shared" si="29"/>
        <v>0</v>
      </c>
      <c r="AI36" s="64">
        <f t="shared" si="30"/>
        <v>16</v>
      </c>
      <c r="AJ36" s="169">
        <f t="shared" si="31"/>
        <v>8</v>
      </c>
      <c r="AK36" s="169">
        <f t="shared" si="32"/>
        <v>0</v>
      </c>
      <c r="AL36" s="64">
        <f t="shared" si="33"/>
        <v>8</v>
      </c>
    </row>
    <row r="37" spans="1:38" ht="15.75" x14ac:dyDescent="0.25">
      <c r="A37" s="2">
        <f t="shared" si="24"/>
        <v>46200</v>
      </c>
      <c r="B37" s="2">
        <f t="shared" si="15"/>
        <v>84</v>
      </c>
      <c r="C37" s="54" t="str">
        <f t="shared" si="0"/>
        <v>27.6. sobota</v>
      </c>
      <c r="D37" s="159" t="s">
        <v>47</v>
      </c>
      <c r="E37" s="117" t="str">
        <f t="shared" si="16"/>
        <v>wolne</v>
      </c>
      <c r="F37" s="115"/>
      <c r="G37" s="115"/>
      <c r="H37" s="55" t="str">
        <f t="shared" si="1"/>
        <v/>
      </c>
      <c r="I37" s="55" t="str">
        <f t="shared" si="2"/>
        <v/>
      </c>
      <c r="J37" s="56" t="str">
        <f t="shared" si="3"/>
        <v/>
      </c>
      <c r="K37" s="57">
        <f t="shared" si="34"/>
        <v>0</v>
      </c>
      <c r="L37" s="57">
        <f t="shared" si="17"/>
        <v>0</v>
      </c>
      <c r="M37" s="58" t="str">
        <f t="shared" si="4"/>
        <v>przerwa1</v>
      </c>
      <c r="N37" s="57">
        <f t="shared" si="18"/>
        <v>0</v>
      </c>
      <c r="O37" s="138"/>
      <c r="P37" s="149"/>
      <c r="Q37" s="138"/>
      <c r="R37" s="8"/>
      <c r="S37" s="60" t="str">
        <f t="shared" si="5"/>
        <v xml:space="preserve"> </v>
      </c>
      <c r="T37" s="60" t="str">
        <f t="shared" si="19"/>
        <v xml:space="preserve"> </v>
      </c>
      <c r="U37" s="60" t="str">
        <f t="shared" si="20"/>
        <v xml:space="preserve"> </v>
      </c>
      <c r="W37">
        <f t="shared" si="21"/>
        <v>0</v>
      </c>
      <c r="X37">
        <f t="shared" si="22"/>
        <v>0</v>
      </c>
      <c r="Y37">
        <f t="shared" si="23"/>
        <v>0</v>
      </c>
      <c r="AD37" s="158">
        <f t="shared" si="25"/>
        <v>0</v>
      </c>
      <c r="AE37" s="158">
        <f t="shared" si="26"/>
        <v>0</v>
      </c>
      <c r="AF37" s="64" t="str">
        <f t="shared" si="27"/>
        <v xml:space="preserve"> </v>
      </c>
      <c r="AG37" s="169">
        <f t="shared" si="28"/>
        <v>0</v>
      </c>
      <c r="AH37" s="169">
        <f t="shared" si="29"/>
        <v>0</v>
      </c>
      <c r="AI37" s="64" t="str">
        <f t="shared" si="30"/>
        <v xml:space="preserve"> </v>
      </c>
      <c r="AJ37" s="169" t="str">
        <f t="shared" si="31"/>
        <v/>
      </c>
      <c r="AK37" s="169" t="str">
        <f t="shared" si="32"/>
        <v/>
      </c>
      <c r="AL37" s="64" t="str">
        <f t="shared" si="33"/>
        <v xml:space="preserve"> </v>
      </c>
    </row>
    <row r="38" spans="1:38" ht="15.75" x14ac:dyDescent="0.25">
      <c r="A38" s="2">
        <f t="shared" si="24"/>
        <v>46201</v>
      </c>
      <c r="B38" s="2">
        <f t="shared" si="15"/>
        <v>84</v>
      </c>
      <c r="C38" s="54" t="str">
        <f t="shared" si="0"/>
        <v>28.6. niedziela</v>
      </c>
      <c r="D38" s="159" t="s">
        <v>47</v>
      </c>
      <c r="E38" s="117" t="str">
        <f t="shared" si="16"/>
        <v>wolne</v>
      </c>
      <c r="F38" s="115"/>
      <c r="G38" s="115"/>
      <c r="H38" s="55" t="str">
        <f t="shared" si="1"/>
        <v/>
      </c>
      <c r="I38" s="55" t="str">
        <f t="shared" si="2"/>
        <v/>
      </c>
      <c r="J38" s="56" t="str">
        <f t="shared" si="3"/>
        <v/>
      </c>
      <c r="K38" s="57">
        <f t="shared" si="34"/>
        <v>0</v>
      </c>
      <c r="L38" s="57">
        <f t="shared" si="17"/>
        <v>0</v>
      </c>
      <c r="M38" s="58" t="str">
        <f t="shared" si="4"/>
        <v>przerwa1</v>
      </c>
      <c r="N38" s="57">
        <f t="shared" si="18"/>
        <v>0</v>
      </c>
      <c r="O38" s="138"/>
      <c r="P38" s="149"/>
      <c r="Q38" s="138"/>
      <c r="R38" s="8"/>
      <c r="S38" s="60" t="str">
        <f t="shared" si="5"/>
        <v xml:space="preserve"> </v>
      </c>
      <c r="T38" s="60" t="str">
        <f t="shared" si="19"/>
        <v xml:space="preserve"> </v>
      </c>
      <c r="U38" s="60" t="str">
        <f t="shared" si="20"/>
        <v xml:space="preserve"> </v>
      </c>
      <c r="W38">
        <f t="shared" si="21"/>
        <v>0</v>
      </c>
      <c r="X38">
        <f t="shared" si="22"/>
        <v>0</v>
      </c>
      <c r="Y38">
        <f t="shared" si="23"/>
        <v>0</v>
      </c>
      <c r="AD38" s="158">
        <f t="shared" si="25"/>
        <v>0</v>
      </c>
      <c r="AE38" s="158">
        <f t="shared" si="26"/>
        <v>0</v>
      </c>
      <c r="AF38" s="64" t="str">
        <f t="shared" si="27"/>
        <v xml:space="preserve"> </v>
      </c>
      <c r="AG38" s="169">
        <f t="shared" si="28"/>
        <v>0</v>
      </c>
      <c r="AH38" s="169">
        <f t="shared" si="29"/>
        <v>0</v>
      </c>
      <c r="AI38" s="64" t="str">
        <f t="shared" si="30"/>
        <v xml:space="preserve"> </v>
      </c>
      <c r="AJ38" s="169" t="str">
        <f t="shared" si="31"/>
        <v/>
      </c>
      <c r="AK38" s="169" t="str">
        <f t="shared" si="32"/>
        <v/>
      </c>
      <c r="AL38" s="64" t="str">
        <f t="shared" si="33"/>
        <v xml:space="preserve"> </v>
      </c>
    </row>
    <row r="39" spans="1:38" ht="15.75" x14ac:dyDescent="0.25">
      <c r="A39" s="2">
        <f t="shared" si="24"/>
        <v>46202</v>
      </c>
      <c r="B39" s="2">
        <f t="shared" si="15"/>
        <v>84</v>
      </c>
      <c r="C39" s="54" t="str">
        <f t="shared" si="0"/>
        <v>29.6. poniedziałek</v>
      </c>
      <c r="D39" s="159"/>
      <c r="E39" s="117" t="str">
        <f t="shared" si="16"/>
        <v xml:space="preserve"> </v>
      </c>
      <c r="F39" s="115">
        <v>8</v>
      </c>
      <c r="G39" s="115">
        <v>16</v>
      </c>
      <c r="H39" s="55">
        <f t="shared" si="1"/>
        <v>8</v>
      </c>
      <c r="I39" s="55">
        <f t="shared" si="2"/>
        <v>0</v>
      </c>
      <c r="J39" s="56">
        <f t="shared" si="3"/>
        <v>0</v>
      </c>
      <c r="K39" s="57">
        <f t="shared" si="34"/>
        <v>1</v>
      </c>
      <c r="L39" s="57">
        <f t="shared" si="17"/>
        <v>0</v>
      </c>
      <c r="M39" s="58" t="str">
        <f t="shared" si="4"/>
        <v>przerwa1</v>
      </c>
      <c r="N39" s="57">
        <f t="shared" si="18"/>
        <v>1</v>
      </c>
      <c r="O39" s="138"/>
      <c r="P39" s="149"/>
      <c r="Q39" s="138"/>
      <c r="R39" s="8"/>
      <c r="S39" s="60">
        <f t="shared" si="5"/>
        <v>0</v>
      </c>
      <c r="T39" s="60" t="str">
        <f t="shared" si="19"/>
        <v xml:space="preserve"> </v>
      </c>
      <c r="U39" s="60" t="str">
        <f t="shared" si="20"/>
        <v xml:space="preserve"> </v>
      </c>
      <c r="W39">
        <f t="shared" si="21"/>
        <v>480</v>
      </c>
      <c r="X39">
        <f t="shared" si="22"/>
        <v>0</v>
      </c>
      <c r="Y39">
        <f t="shared" si="23"/>
        <v>480</v>
      </c>
      <c r="AD39" s="158">
        <f t="shared" si="25"/>
        <v>8</v>
      </c>
      <c r="AE39" s="158">
        <f t="shared" si="26"/>
        <v>0</v>
      </c>
      <c r="AF39" s="64">
        <f t="shared" si="27"/>
        <v>8</v>
      </c>
      <c r="AG39" s="169">
        <f t="shared" si="28"/>
        <v>16</v>
      </c>
      <c r="AH39" s="169">
        <f t="shared" si="29"/>
        <v>0</v>
      </c>
      <c r="AI39" s="64">
        <f t="shared" si="30"/>
        <v>16</v>
      </c>
      <c r="AJ39" s="169">
        <f t="shared" si="31"/>
        <v>8</v>
      </c>
      <c r="AK39" s="169">
        <f t="shared" si="32"/>
        <v>0</v>
      </c>
      <c r="AL39" s="64">
        <f t="shared" si="33"/>
        <v>8</v>
      </c>
    </row>
    <row r="40" spans="1:38" ht="15.75" x14ac:dyDescent="0.25">
      <c r="A40" s="2">
        <f t="shared" si="24"/>
        <v>46203</v>
      </c>
      <c r="B40" s="2">
        <f t="shared" si="15"/>
        <v>84</v>
      </c>
      <c r="C40" s="54" t="str">
        <f t="shared" si="0"/>
        <v>30.6. wtorek</v>
      </c>
      <c r="D40" s="159"/>
      <c r="E40" s="117" t="str">
        <f t="shared" si="16"/>
        <v xml:space="preserve"> </v>
      </c>
      <c r="F40" s="115">
        <v>8</v>
      </c>
      <c r="G40" s="115">
        <v>16</v>
      </c>
      <c r="H40" s="55">
        <f t="shared" si="1"/>
        <v>8</v>
      </c>
      <c r="I40" s="55">
        <f t="shared" si="2"/>
        <v>0</v>
      </c>
      <c r="J40" s="56">
        <f t="shared" si="3"/>
        <v>0</v>
      </c>
      <c r="K40" s="57">
        <f t="shared" si="34"/>
        <v>1</v>
      </c>
      <c r="L40" s="57">
        <f t="shared" si="17"/>
        <v>0</v>
      </c>
      <c r="M40" s="58" t="str">
        <f t="shared" si="4"/>
        <v>przerwa1</v>
      </c>
      <c r="N40" s="57">
        <f t="shared" si="18"/>
        <v>1</v>
      </c>
      <c r="O40" s="138"/>
      <c r="P40" s="149"/>
      <c r="Q40" s="138"/>
      <c r="R40" s="8"/>
      <c r="S40" s="60">
        <f t="shared" si="5"/>
        <v>0</v>
      </c>
      <c r="T40" s="60" t="str">
        <f t="shared" si="19"/>
        <v xml:space="preserve"> </v>
      </c>
      <c r="U40" s="60" t="str">
        <f t="shared" si="20"/>
        <v xml:space="preserve"> </v>
      </c>
      <c r="W40">
        <f t="shared" si="21"/>
        <v>480</v>
      </c>
      <c r="X40">
        <f t="shared" si="22"/>
        <v>0</v>
      </c>
      <c r="Y40">
        <f t="shared" si="23"/>
        <v>480</v>
      </c>
      <c r="AD40" s="158">
        <f t="shared" si="25"/>
        <v>8</v>
      </c>
      <c r="AE40" s="158">
        <f t="shared" si="26"/>
        <v>0</v>
      </c>
      <c r="AF40" s="64">
        <f t="shared" si="27"/>
        <v>8</v>
      </c>
      <c r="AG40" s="169">
        <f t="shared" si="28"/>
        <v>16</v>
      </c>
      <c r="AH40" s="169">
        <f t="shared" si="29"/>
        <v>0</v>
      </c>
      <c r="AI40" s="64">
        <f t="shared" si="30"/>
        <v>16</v>
      </c>
      <c r="AJ40" s="169">
        <f t="shared" si="31"/>
        <v>8</v>
      </c>
      <c r="AK40" s="169">
        <f t="shared" si="32"/>
        <v>0</v>
      </c>
      <c r="AL40" s="64">
        <f t="shared" si="33"/>
        <v>8</v>
      </c>
    </row>
    <row r="41" spans="1:38" ht="15.75" x14ac:dyDescent="0.25">
      <c r="A41" s="2">
        <f t="shared" si="24"/>
        <v>46204</v>
      </c>
      <c r="B41" s="2">
        <f t="shared" si="15"/>
        <v>84</v>
      </c>
      <c r="C41" s="54"/>
      <c r="D41" s="159"/>
      <c r="E41" s="117"/>
      <c r="F41" s="115"/>
      <c r="G41" s="115"/>
      <c r="H41" s="55"/>
      <c r="I41" s="55"/>
      <c r="J41" s="56" t="str">
        <f>IF(OR((I41=""),(B41=83)),"",IF((I41=0),0,TRUNC(H41-godz)*60+(((TRUNC(H41)*60)+(H41-TRUNC(H41))*100)-(godz*60)-(TRUNC(H41-godz)*60))))</f>
        <v/>
      </c>
      <c r="K41" s="57"/>
      <c r="L41" s="57"/>
      <c r="M41" s="61"/>
      <c r="N41" s="57"/>
      <c r="O41" s="138"/>
      <c r="P41" s="149"/>
      <c r="Q41" s="138"/>
      <c r="R41" s="8"/>
      <c r="S41" s="60" t="str">
        <f t="shared" si="5"/>
        <v xml:space="preserve"> </v>
      </c>
      <c r="T41" s="60" t="str">
        <f t="shared" si="19"/>
        <v xml:space="preserve"> </v>
      </c>
      <c r="U41" s="60" t="str">
        <f t="shared" si="20"/>
        <v xml:space="preserve"> </v>
      </c>
      <c r="W41">
        <f t="shared" si="21"/>
        <v>0</v>
      </c>
      <c r="X41">
        <f t="shared" si="22"/>
        <v>0</v>
      </c>
      <c r="Y41">
        <f t="shared" si="23"/>
        <v>0</v>
      </c>
      <c r="AD41" s="158">
        <f t="shared" si="25"/>
        <v>0</v>
      </c>
      <c r="AE41" s="158">
        <f t="shared" si="26"/>
        <v>0</v>
      </c>
      <c r="AF41" s="64" t="str">
        <f t="shared" si="27"/>
        <v xml:space="preserve"> </v>
      </c>
      <c r="AG41" s="169">
        <f t="shared" si="28"/>
        <v>0</v>
      </c>
      <c r="AH41" s="169">
        <f t="shared" si="29"/>
        <v>0</v>
      </c>
      <c r="AI41" s="64" t="str">
        <f t="shared" si="30"/>
        <v xml:space="preserve"> </v>
      </c>
      <c r="AJ41" s="169" t="str">
        <f t="shared" si="31"/>
        <v/>
      </c>
      <c r="AK41" s="169" t="str">
        <f t="shared" si="32"/>
        <v/>
      </c>
      <c r="AL41" s="64" t="str">
        <f t="shared" si="33"/>
        <v xml:space="preserve"> </v>
      </c>
    </row>
    <row r="42" spans="1:38" ht="15.75" x14ac:dyDescent="0.25">
      <c r="A42" s="1"/>
      <c r="B42" s="1"/>
      <c r="C42" s="62"/>
      <c r="D42" s="116"/>
      <c r="E42" s="117"/>
      <c r="F42" s="116"/>
      <c r="G42" s="116"/>
      <c r="H42" s="55"/>
      <c r="I42" s="59"/>
      <c r="J42" s="59"/>
      <c r="K42" s="57">
        <f t="shared" si="34"/>
        <v>1</v>
      </c>
      <c r="L42" s="57">
        <f>IF(OR((D42="c"),(D42="u")),1,0)</f>
        <v>0</v>
      </c>
      <c r="M42" s="63"/>
      <c r="N42" s="57">
        <f>IF(OR((B42=83),(D42="w"),(D42="g"),(D42="c"),(D42="u")),0,1)</f>
        <v>1</v>
      </c>
      <c r="O42" s="64">
        <f>TRUNC(SUM(O11:O41)/60)+((SUM(O11:O41)/60)-(TRUNC(SUM(O11:O41)/60)))*60/100</f>
        <v>0</v>
      </c>
      <c r="P42" t="s">
        <v>132</v>
      </c>
      <c r="Q42" s="8"/>
      <c r="R42" s="8"/>
      <c r="S42" s="65">
        <f>SUM(S11:S41)</f>
        <v>0</v>
      </c>
      <c r="T42" s="66">
        <f>SUM(T11:T41)</f>
        <v>0</v>
      </c>
      <c r="U42" s="66">
        <f>SUM(U11:U41)</f>
        <v>0</v>
      </c>
    </row>
    <row r="43" spans="1:38" x14ac:dyDescent="0.25">
      <c r="A43" s="1"/>
      <c r="B43" s="1"/>
      <c r="C43" s="67"/>
      <c r="D43" s="21"/>
      <c r="E43" s="21"/>
      <c r="F43" s="21"/>
      <c r="G43" s="21"/>
      <c r="H43" s="21"/>
      <c r="I43" s="68"/>
      <c r="J43" s="68"/>
      <c r="K43" s="69"/>
      <c r="L43" s="69"/>
      <c r="M43" s="69"/>
      <c r="N43" s="70"/>
      <c r="O43" s="144"/>
      <c r="P43" s="8"/>
      <c r="Q43" s="8"/>
      <c r="R43" s="8"/>
      <c r="S43" s="71">
        <f>S42/60</f>
        <v>0</v>
      </c>
      <c r="T43" s="66"/>
      <c r="U43" s="8"/>
    </row>
    <row r="44" spans="1:38" ht="15" customHeight="1" x14ac:dyDescent="0.25">
      <c r="A44" s="1"/>
      <c r="B44" s="1"/>
      <c r="C44" s="67" t="s">
        <v>30</v>
      </c>
      <c r="D44" s="21"/>
      <c r="E44" s="72">
        <f>SUM(K11:K41)</f>
        <v>21</v>
      </c>
      <c r="F44" s="21" t="s">
        <v>31</v>
      </c>
      <c r="G44" s="21"/>
      <c r="H44" s="21"/>
      <c r="I44" s="73" t="s">
        <v>32</v>
      </c>
      <c r="J44" s="72">
        <f>SUM(N11:N41)</f>
        <v>21</v>
      </c>
      <c r="K44" s="74" t="s">
        <v>31</v>
      </c>
      <c r="L44" s="74"/>
      <c r="M44" s="74"/>
      <c r="N44" s="30"/>
      <c r="O44" s="141" t="s">
        <v>31</v>
      </c>
      <c r="P44" s="8"/>
      <c r="W44">
        <f>((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60)</f>
        <v>10080</v>
      </c>
      <c r="X44">
        <f>(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-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100)</f>
        <v>0</v>
      </c>
      <c r="Y44">
        <f>((TRUNC(O42)*60)+(O42-TRUNC(O42))*100)</f>
        <v>0</v>
      </c>
      <c r="Z44">
        <f>W44+X44+Y44</f>
        <v>10080</v>
      </c>
      <c r="AA44">
        <f>Z44/60</f>
        <v>168</v>
      </c>
      <c r="AB44">
        <f>TRUNC(AA44)</f>
        <v>168</v>
      </c>
      <c r="AC44">
        <f>(AA44-AB44)*60/100</f>
        <v>0</v>
      </c>
      <c r="AD44">
        <f>AB44+AC44</f>
        <v>168</v>
      </c>
    </row>
    <row r="45" spans="1:38" x14ac:dyDescent="0.25">
      <c r="A45" s="1"/>
      <c r="B45" s="1"/>
      <c r="C45" s="75" t="s">
        <v>33</v>
      </c>
      <c r="D45" s="21"/>
      <c r="E45" s="76">
        <f>ROUND(SUM(K11:K41)*godz,2)</f>
        <v>168</v>
      </c>
      <c r="F45" s="21" t="s">
        <v>34</v>
      </c>
      <c r="G45" s="21"/>
      <c r="H45" s="21"/>
      <c r="I45" s="73" t="s">
        <v>35</v>
      </c>
      <c r="J45" s="76">
        <f>AB44+AC44</f>
        <v>168</v>
      </c>
      <c r="K45" s="74" t="s">
        <v>34</v>
      </c>
      <c r="L45" s="74"/>
      <c r="M45" s="74"/>
      <c r="N45" s="30"/>
      <c r="O45" s="141" t="s">
        <v>34</v>
      </c>
      <c r="P45" s="8"/>
    </row>
    <row r="46" spans="1:38" x14ac:dyDescent="0.25">
      <c r="A46" s="1"/>
      <c r="B46" s="1"/>
      <c r="C46" s="67"/>
      <c r="D46" s="21"/>
      <c r="E46" s="76"/>
      <c r="F46" s="21"/>
      <c r="G46" s="21"/>
      <c r="H46" s="21"/>
      <c r="I46" s="73"/>
      <c r="J46" s="76"/>
      <c r="K46" s="74"/>
      <c r="L46" s="74"/>
      <c r="M46" s="74"/>
      <c r="N46" s="30"/>
      <c r="O46" s="141"/>
      <c r="P46" s="8"/>
    </row>
    <row r="47" spans="1:38" x14ac:dyDescent="0.25">
      <c r="A47" s="1"/>
      <c r="B47" s="1"/>
      <c r="C47" s="67"/>
      <c r="D47" s="21"/>
      <c r="E47" s="76"/>
      <c r="F47" s="21"/>
      <c r="G47" s="21"/>
      <c r="H47" s="21"/>
      <c r="I47" s="73" t="s">
        <v>36</v>
      </c>
      <c r="J47" s="72">
        <f>SUM(L11:L41)</f>
        <v>0</v>
      </c>
      <c r="K47" s="74" t="s">
        <v>37</v>
      </c>
      <c r="L47" s="74"/>
      <c r="M47" s="74"/>
      <c r="N47" s="30"/>
      <c r="O47" s="141" t="s">
        <v>37</v>
      </c>
      <c r="P47" s="8"/>
    </row>
    <row r="48" spans="1:38" x14ac:dyDescent="0.25">
      <c r="A48" s="1"/>
      <c r="B48" s="1"/>
      <c r="C48" s="67"/>
      <c r="D48" s="21"/>
      <c r="E48" s="21"/>
      <c r="F48" s="21"/>
      <c r="G48" s="21"/>
      <c r="H48" s="21"/>
      <c r="I48" s="73" t="s">
        <v>147</v>
      </c>
      <c r="J48" s="167"/>
      <c r="K48" s="78"/>
      <c r="L48" s="78"/>
      <c r="M48" s="78"/>
      <c r="N48" s="79"/>
      <c r="O48" s="141"/>
      <c r="P48" s="8"/>
    </row>
    <row r="49" spans="3:16" x14ac:dyDescent="0.25">
      <c r="C49" s="80" t="s">
        <v>61</v>
      </c>
      <c r="D49" s="21"/>
      <c r="E49" s="76">
        <f>TRUNC((((TRUNC(J45)*60)+(J45-TRUNC(J45))*100)-E45*60)/60)+((((((TRUNC(J45)*60)+(J45-TRUNC(J45))*100)-E45*60)/60)-TRUNC((((TRUNC(J45)*60)+(J45-TRUNC(J45))*100)-E45*60)/60))*60/100)</f>
        <v>0</v>
      </c>
      <c r="F49" s="21" t="s">
        <v>34</v>
      </c>
      <c r="G49" s="8"/>
      <c r="H49" s="73"/>
      <c r="I49" s="73" t="s">
        <v>148</v>
      </c>
      <c r="J49" s="76">
        <f>TRUNC((((ROUND(J47*godz,2))*60)-(TRUNC(J48)*60+(J48-TRUNC(J48))*100))/60)+((((((ROUND(J47*godz,2))*60)-(TRUNC(J48)*60+(J48-TRUNC(J48))*100))/60)-TRUNC((((ROUND(J47*godz,2))*60)-(TRUNC(J48)*60+(J48-TRUNC(J48))*100))/60))*60/100)</f>
        <v>0</v>
      </c>
      <c r="K49" s="77"/>
      <c r="L49" s="21"/>
      <c r="M49" s="21"/>
      <c r="N49" s="30"/>
      <c r="O49" s="142"/>
      <c r="P49" s="21"/>
    </row>
    <row r="50" spans="3:16" ht="15.75" customHeight="1" thickBot="1" x14ac:dyDescent="0.3">
      <c r="C50" s="163" t="s">
        <v>38</v>
      </c>
      <c r="D50" s="164"/>
      <c r="E50" s="165">
        <f>J49</f>
        <v>0</v>
      </c>
      <c r="F50" s="164" t="s">
        <v>34</v>
      </c>
      <c r="G50" s="82"/>
      <c r="H50" s="21"/>
      <c r="I50" s="83"/>
      <c r="J50" s="83"/>
      <c r="K50" s="21"/>
      <c r="L50" s="21"/>
      <c r="M50" s="21"/>
      <c r="N50" s="30"/>
      <c r="O50" s="30"/>
      <c r="P50" s="8"/>
    </row>
    <row r="51" spans="3:16" ht="15.75" thickBot="1" x14ac:dyDescent="0.3">
      <c r="C51" s="166" t="s">
        <v>134</v>
      </c>
      <c r="D51" s="164"/>
      <c r="E51" s="165">
        <f>TRUNC(((TRUNC(J45)*60+(J45-TRUNC(J45))*100)+(TRUNC(J49)*60+(J49-TRUNC(J49))*100))/60)+((((TRUNC(J45)*60+(J45-TRUNC(J45))*100)+(TRUNC(J49)*60+(J49-TRUNC(J49))*100))/60)-TRUNC(((TRUNC(J45)*60+(J45-TRUNC(J45))*100)+(TRUNC(J49)*60+(J49-TRUNC(J49))*100))/60))*60/100</f>
        <v>168</v>
      </c>
      <c r="F51" s="164" t="s">
        <v>34</v>
      </c>
      <c r="G51" s="21"/>
      <c r="H51" s="21"/>
      <c r="I51" s="83" t="s">
        <v>53</v>
      </c>
      <c r="J51" s="84">
        <f>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+(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-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)*60/100)</f>
        <v>0</v>
      </c>
      <c r="K51" s="83" t="s">
        <v>34</v>
      </c>
      <c r="L51" s="83"/>
      <c r="M51" s="85"/>
      <c r="N51" s="30"/>
      <c r="O51" s="143" t="s">
        <v>34</v>
      </c>
      <c r="P51" s="8"/>
    </row>
    <row r="52" spans="3:16" ht="15.75" thickBot="1" x14ac:dyDescent="0.3">
      <c r="C52" s="86"/>
      <c r="D52" s="87"/>
      <c r="E52" s="88" t="s">
        <v>40</v>
      </c>
      <c r="F52" s="89"/>
      <c r="G52" s="87"/>
      <c r="H52" s="87"/>
      <c r="I52" s="88" t="s">
        <v>40</v>
      </c>
      <c r="J52" s="88" t="s">
        <v>41</v>
      </c>
      <c r="K52" s="87"/>
      <c r="L52" s="87"/>
      <c r="M52" s="87"/>
      <c r="N52" s="90"/>
      <c r="O52" s="90"/>
      <c r="P52" s="8"/>
    </row>
    <row r="53" spans="3:16" x14ac:dyDescent="0.25">
      <c r="C53" s="91" t="s">
        <v>52</v>
      </c>
      <c r="D53" s="13"/>
      <c r="E53" s="13"/>
      <c r="F53" s="13"/>
      <c r="G53" s="13"/>
      <c r="H53" s="13"/>
      <c r="I53" s="92"/>
      <c r="J53" s="92"/>
      <c r="K53" s="92"/>
      <c r="L53" s="92"/>
      <c r="M53" s="92"/>
      <c r="N53" s="93"/>
      <c r="O53" s="147"/>
      <c r="P53" s="8"/>
    </row>
    <row r="54" spans="3:16" ht="15.75" customHeight="1" x14ac:dyDescent="0.25">
      <c r="C54" s="118" t="s">
        <v>51</v>
      </c>
      <c r="D54" s="21"/>
      <c r="E54" s="94">
        <f>'Mai 2026'!J54</f>
        <v>6.56</v>
      </c>
      <c r="F54" s="83" t="s">
        <v>34</v>
      </c>
      <c r="G54" s="21"/>
      <c r="H54" s="21"/>
      <c r="I54" s="95" t="s">
        <v>44</v>
      </c>
      <c r="J54" s="98">
        <f>TRUNC(SUM(((TRUNC(J51)*60)+((J51-TRUNC(J51))*100)),(TRUNC(E54)*60)+((E54-TRUNC(E54))*100))/60)+((SUM(((TRUNC(J51)*60)+((J51-TRUNC(J51))*100)),(TRUNC(E54)*60)+((E54-TRUNC(E54))*100))/60)-TRUNC((SUM(((TRUNC(J51)*60)+((J51-TRUNC(J51))*100)),(TRUNC(E54)*60)+((E54-TRUNC(E54))*100))/60)))*60/100</f>
        <v>6.56</v>
      </c>
      <c r="K54" s="96" t="s">
        <v>34</v>
      </c>
      <c r="L54" s="81"/>
      <c r="M54" s="81"/>
      <c r="N54" s="30"/>
      <c r="O54" s="145" t="s">
        <v>34</v>
      </c>
      <c r="P54" s="8"/>
    </row>
    <row r="55" spans="3:16" ht="15.75" thickBot="1" x14ac:dyDescent="0.3">
      <c r="C55" s="86"/>
      <c r="D55" s="87"/>
      <c r="E55" s="87"/>
      <c r="F55" s="87"/>
      <c r="G55" s="87"/>
      <c r="H55" s="87"/>
      <c r="I55" s="97"/>
      <c r="J55" s="97"/>
      <c r="K55" s="97"/>
      <c r="L55" s="97"/>
      <c r="M55" s="97"/>
      <c r="N55" s="90"/>
      <c r="O55" s="146"/>
      <c r="P55" s="8"/>
    </row>
    <row r="56" spans="3:16" x14ac:dyDescent="0.25">
      <c r="C56" s="10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</row>
    <row r="57" spans="3:16" x14ac:dyDescent="0.25">
      <c r="C57" s="6">
        <f>SUM(K11:K41)</f>
        <v>21</v>
      </c>
    </row>
    <row r="58" spans="3:16" x14ac:dyDescent="0.25">
      <c r="E58" s="161"/>
    </row>
  </sheetData>
  <sheetProtection selectLockedCells="1"/>
  <mergeCells count="3">
    <mergeCell ref="E2:F2"/>
    <mergeCell ref="E3:F3"/>
    <mergeCell ref="E4:F4"/>
  </mergeCells>
  <pageMargins left="0.7" right="0.7" top="0.75" bottom="0.75" header="0.3" footer="0.3"/>
  <pageSetup paperSize="9"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Dane!$A$1:$A$12</xm:f>
          </x14:formula1>
          <xm:sqref>D11:D41</xm:sqref>
        </x14:dataValidation>
        <x14:dataValidation type="list" allowBlank="1" showInputMessage="1" showErrorMessage="1">
          <x14:formula1>
            <xm:f>Dane!$G$2:$G$16</xm:f>
          </x14:formula1>
          <xm:sqref>P11:P41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AL58"/>
  <sheetViews>
    <sheetView topLeftCell="C13" zoomScaleNormal="100" workbookViewId="0">
      <selection activeCell="F35" sqref="F35:G35"/>
    </sheetView>
  </sheetViews>
  <sheetFormatPr defaultColWidth="9.140625" defaultRowHeight="15" x14ac:dyDescent="0.25"/>
  <cols>
    <col min="1" max="1" width="3.42578125" hidden="1" customWidth="1"/>
    <col min="2" max="2" width="3" hidden="1" customWidth="1"/>
    <col min="3" max="3" width="19.85546875" customWidth="1"/>
    <col min="4" max="4" width="3.7109375" customWidth="1"/>
    <col min="5" max="5" width="14.28515625" bestFit="1" customWidth="1"/>
    <col min="8" max="8" width="7.42578125" customWidth="1"/>
    <col min="9" max="9" width="14.42578125" customWidth="1"/>
    <col min="10" max="10" width="10" bestFit="1" customWidth="1"/>
    <col min="11" max="11" width="13" hidden="1" customWidth="1"/>
    <col min="12" max="12" width="9.28515625" hidden="1" customWidth="1"/>
    <col min="13" max="13" width="21" hidden="1" customWidth="1"/>
    <col min="14" max="14" width="21.140625" hidden="1" customWidth="1"/>
    <col min="15" max="15" width="14.7109375" customWidth="1"/>
    <col min="17" max="17" width="13.28515625" customWidth="1"/>
    <col min="19" max="19" width="9.140625" hidden="1" customWidth="1"/>
    <col min="20" max="20" width="14" customWidth="1"/>
    <col min="21" max="21" width="14.85546875" customWidth="1"/>
    <col min="22" max="22" width="9.140625" customWidth="1"/>
    <col min="23" max="31" width="9.140625" hidden="1" customWidth="1"/>
    <col min="32" max="32" width="17.42578125" style="170" customWidth="1"/>
    <col min="33" max="34" width="9.140625" hidden="1" customWidth="1"/>
    <col min="35" max="35" width="14.140625" customWidth="1"/>
    <col min="36" max="36" width="14.140625" hidden="1" customWidth="1"/>
    <col min="37" max="37" width="18.7109375" hidden="1" customWidth="1"/>
    <col min="38" max="38" width="19.85546875" customWidth="1"/>
  </cols>
  <sheetData>
    <row r="1" spans="1:38" ht="18.75" thickBot="1" x14ac:dyDescent="0.3">
      <c r="A1" s="5" t="s">
        <v>48</v>
      </c>
      <c r="B1" s="1"/>
      <c r="C1" s="103" t="s">
        <v>0</v>
      </c>
      <c r="D1" s="104">
        <v>7</v>
      </c>
      <c r="E1" s="102"/>
      <c r="F1" s="102"/>
      <c r="G1" s="103" t="s">
        <v>1</v>
      </c>
      <c r="H1" s="105" t="str">
        <f>'Januar 2026'!rok</f>
        <v>2026</v>
      </c>
      <c r="I1" s="106" t="s">
        <v>2</v>
      </c>
      <c r="J1" s="107">
        <v>8</v>
      </c>
      <c r="K1" s="108"/>
      <c r="L1" s="109"/>
      <c r="M1" s="109"/>
      <c r="N1" s="110"/>
      <c r="O1" s="8"/>
      <c r="P1" s="8"/>
      <c r="Q1" s="9" t="str">
        <f>Dane!A2</f>
        <v>w</v>
      </c>
      <c r="R1" s="10" t="str">
        <f>Dane!B2</f>
        <v>dzień wolny ustawowo</v>
      </c>
      <c r="S1" s="8"/>
      <c r="T1" s="8"/>
      <c r="U1" s="123" t="str">
        <f>Dane!A9</f>
        <v>oc</v>
      </c>
      <c r="V1" s="8" t="str">
        <f>Dane!B9</f>
        <v>opieka nad chorym dzieckiem</v>
      </c>
    </row>
    <row r="2" spans="1:38" x14ac:dyDescent="0.25">
      <c r="A2" s="2"/>
      <c r="B2" s="1"/>
      <c r="C2" s="11"/>
      <c r="D2" s="11" t="s">
        <v>4</v>
      </c>
      <c r="E2" s="175"/>
      <c r="F2" s="176"/>
      <c r="G2" s="16"/>
      <c r="H2" s="17"/>
      <c r="I2" s="28" t="s">
        <v>5</v>
      </c>
      <c r="J2" s="101">
        <v>40</v>
      </c>
      <c r="K2" s="12" t="s">
        <v>6</v>
      </c>
      <c r="L2" s="13"/>
      <c r="M2" s="13"/>
      <c r="N2" s="14"/>
      <c r="O2" s="12" t="s">
        <v>6</v>
      </c>
      <c r="P2" s="8"/>
      <c r="Q2" s="9" t="str">
        <f>Dane!A3</f>
        <v>u</v>
      </c>
      <c r="R2" s="10" t="str">
        <f>Dane!B3</f>
        <v>urlop</v>
      </c>
      <c r="S2" s="8"/>
      <c r="T2" s="8"/>
      <c r="U2" s="122" t="str">
        <f>Dane!A10</f>
        <v>um</v>
      </c>
      <c r="V2" s="8" t="str">
        <f>Dane!B10</f>
        <v>urlop macierzyński</v>
      </c>
    </row>
    <row r="3" spans="1:38" x14ac:dyDescent="0.25">
      <c r="A3" s="1"/>
      <c r="B3" s="1"/>
      <c r="C3" s="15"/>
      <c r="D3" s="15" t="s">
        <v>46</v>
      </c>
      <c r="E3" s="175"/>
      <c r="F3" s="176"/>
      <c r="G3" s="16"/>
      <c r="H3" s="17"/>
      <c r="I3" s="18"/>
      <c r="J3" s="19"/>
      <c r="K3" s="20"/>
      <c r="L3" s="21"/>
      <c r="M3" s="21"/>
      <c r="N3" s="22"/>
      <c r="O3" s="20"/>
      <c r="P3" s="8"/>
      <c r="Q3" s="9" t="str">
        <f>Dane!A4</f>
        <v>c</v>
      </c>
      <c r="R3" s="10" t="str">
        <f>Dane!B4</f>
        <v>choroba</v>
      </c>
      <c r="S3" s="8"/>
      <c r="T3" s="8"/>
      <c r="U3" s="122" t="str">
        <f>Dane!A11</f>
        <v>uz</v>
      </c>
      <c r="V3" s="8" t="str">
        <f>Dane!B11</f>
        <v>urlop zaplanowany</v>
      </c>
    </row>
    <row r="4" spans="1:38" ht="15.75" thickBot="1" x14ac:dyDescent="0.3">
      <c r="A4" s="3"/>
      <c r="B4" s="1"/>
      <c r="C4" s="15"/>
      <c r="D4" s="23" t="s">
        <v>11</v>
      </c>
      <c r="E4" s="175"/>
      <c r="F4" s="176"/>
      <c r="G4" s="16"/>
      <c r="H4" s="17"/>
      <c r="I4" s="18"/>
      <c r="J4" s="19"/>
      <c r="K4" s="20"/>
      <c r="L4" s="21"/>
      <c r="M4" s="21"/>
      <c r="N4" s="22"/>
      <c r="O4" s="20"/>
      <c r="P4" s="8"/>
      <c r="Q4" s="9" t="str">
        <f>Dane!A5</f>
        <v>g</v>
      </c>
      <c r="R4" s="10" t="str">
        <f>Dane!B5</f>
        <v xml:space="preserve">godz.(rządanie pracownika) </v>
      </c>
      <c r="S4" s="8"/>
      <c r="T4" s="8"/>
      <c r="U4" s="122" t="str">
        <f>Dane!A12</f>
        <v>gp</v>
      </c>
      <c r="V4" t="str">
        <f>Dane!B12</f>
        <v xml:space="preserve">godz.(rządanie pracodawcy) </v>
      </c>
    </row>
    <row r="5" spans="1:38" x14ac:dyDescent="0.25">
      <c r="A5" s="3"/>
      <c r="B5" s="1"/>
      <c r="C5" s="15"/>
      <c r="D5" s="24"/>
      <c r="E5" s="25"/>
      <c r="F5" s="26"/>
      <c r="G5" s="27"/>
      <c r="H5" s="17"/>
      <c r="I5" s="28" t="s">
        <v>12</v>
      </c>
      <c r="J5" s="111">
        <v>0</v>
      </c>
      <c r="K5" s="29" t="s">
        <v>13</v>
      </c>
      <c r="L5" s="21"/>
      <c r="M5" s="21"/>
      <c r="N5" s="30"/>
      <c r="O5" s="29" t="s">
        <v>13</v>
      </c>
      <c r="P5" s="8"/>
      <c r="Q5" s="9" t="str">
        <f>Dane!A6</f>
        <v>s</v>
      </c>
      <c r="R5" s="10" t="str">
        <f>Dane!B6</f>
        <v>urlop specjalny/okolicznościow</v>
      </c>
      <c r="S5" s="8"/>
      <c r="T5" s="8"/>
      <c r="U5" s="9"/>
    </row>
    <row r="6" spans="1:38" x14ac:dyDescent="0.25">
      <c r="A6" s="3"/>
      <c r="B6" s="1"/>
      <c r="C6" s="15"/>
      <c r="D6" s="23"/>
      <c r="E6" s="31"/>
      <c r="F6" s="32"/>
      <c r="G6" s="33"/>
      <c r="H6" s="17"/>
      <c r="I6" s="21"/>
      <c r="J6" s="112">
        <v>0</v>
      </c>
      <c r="K6" s="29" t="s">
        <v>16</v>
      </c>
      <c r="L6" s="21"/>
      <c r="M6" s="21"/>
      <c r="N6" s="30"/>
      <c r="O6" s="29" t="s">
        <v>16</v>
      </c>
      <c r="P6" s="8"/>
      <c r="Q6" s="9" t="str">
        <f>Dane!A7</f>
        <v>a</v>
      </c>
      <c r="R6" s="10" t="str">
        <f>Dane!B7</f>
        <v>nieobecny</v>
      </c>
      <c r="S6" s="8"/>
      <c r="T6" s="8"/>
      <c r="U6" s="8"/>
    </row>
    <row r="7" spans="1:38" ht="15.75" thickBot="1" x14ac:dyDescent="0.3">
      <c r="A7" s="1"/>
      <c r="B7" s="1"/>
      <c r="C7" s="34"/>
      <c r="D7" s="35"/>
      <c r="E7" s="35"/>
      <c r="F7" s="35"/>
      <c r="G7" s="35"/>
      <c r="H7" s="17"/>
      <c r="I7" s="28" t="s">
        <v>17</v>
      </c>
      <c r="J7" s="113">
        <v>8</v>
      </c>
      <c r="K7" s="20" t="s">
        <v>18</v>
      </c>
      <c r="L7" s="21"/>
      <c r="M7" s="21"/>
      <c r="N7" s="30"/>
      <c r="O7" s="20" t="s">
        <v>18</v>
      </c>
      <c r="P7" s="8"/>
      <c r="Q7" s="9" t="str">
        <f>Dane!A8</f>
        <v>op</v>
      </c>
      <c r="R7" s="10" t="str">
        <f>Dane!B8</f>
        <v>opieka nad zdrowym dzieckiem</v>
      </c>
      <c r="S7" s="8"/>
      <c r="T7" s="8"/>
      <c r="U7" s="8"/>
    </row>
    <row r="8" spans="1:38" ht="23.25" x14ac:dyDescent="0.35">
      <c r="A8" s="2"/>
      <c r="B8" s="2"/>
      <c r="C8" s="99" t="s">
        <v>45</v>
      </c>
      <c r="D8" s="7"/>
      <c r="E8" s="7"/>
      <c r="F8" s="100" t="str">
        <f>TEXT(DATE(H1,D1,1),"MMMM rrrr")</f>
        <v>lipiec 2026</v>
      </c>
      <c r="G8" s="36"/>
      <c r="H8" s="37"/>
      <c r="I8" s="38"/>
      <c r="J8" s="39"/>
      <c r="K8" s="39"/>
      <c r="L8" s="39"/>
      <c r="M8" s="39"/>
      <c r="N8" s="40"/>
      <c r="O8" s="41"/>
      <c r="P8" s="42"/>
      <c r="Q8" s="41"/>
      <c r="R8" s="42"/>
      <c r="S8" s="41"/>
      <c r="T8" s="41"/>
      <c r="U8" s="42"/>
    </row>
    <row r="9" spans="1:38" ht="15.75" thickBot="1" x14ac:dyDescent="0.3">
      <c r="A9" s="2"/>
      <c r="B9" s="2"/>
      <c r="C9" s="43"/>
      <c r="D9" s="44" t="s">
        <v>21</v>
      </c>
      <c r="E9" s="45" t="str">
        <f>TEXT(F9,"DDDD ")</f>
        <v xml:space="preserve">środa </v>
      </c>
      <c r="F9" s="45">
        <f>DATE(H1,D1,1)</f>
        <v>46204</v>
      </c>
      <c r="G9" s="44" t="s">
        <v>22</v>
      </c>
      <c r="H9" s="46" t="str">
        <f>TEXT(I9,"DDDD ")</f>
        <v xml:space="preserve">piątek </v>
      </c>
      <c r="I9" s="45">
        <f>DATE(YEAR(F9),MONTH(F9+31),DAY(F9))-1</f>
        <v>46234</v>
      </c>
      <c r="J9" s="47"/>
      <c r="K9" s="47"/>
      <c r="L9" s="47"/>
      <c r="M9" s="47"/>
      <c r="N9" s="30"/>
      <c r="O9" s="48"/>
      <c r="P9" s="49"/>
      <c r="Q9" s="48"/>
      <c r="R9" s="49"/>
      <c r="S9" s="48"/>
      <c r="T9" s="48"/>
      <c r="U9" s="49"/>
    </row>
    <row r="10" spans="1:38" ht="52.5" thickBot="1" x14ac:dyDescent="0.3">
      <c r="A10" s="4"/>
      <c r="B10" s="4"/>
      <c r="C10" s="50" t="s">
        <v>23</v>
      </c>
      <c r="D10" s="51"/>
      <c r="E10" s="51" t="s">
        <v>24</v>
      </c>
      <c r="F10" s="51" t="s">
        <v>25</v>
      </c>
      <c r="G10" s="51" t="s">
        <v>26</v>
      </c>
      <c r="H10" s="51" t="s">
        <v>27</v>
      </c>
      <c r="I10" s="51" t="s">
        <v>137</v>
      </c>
      <c r="J10" s="51" t="s">
        <v>28</v>
      </c>
      <c r="K10" s="51"/>
      <c r="L10" s="51" t="s">
        <v>100</v>
      </c>
      <c r="M10" s="51"/>
      <c r="N10" s="52"/>
      <c r="O10" s="51" t="s">
        <v>29</v>
      </c>
      <c r="P10" s="51" t="s">
        <v>105</v>
      </c>
      <c r="Q10" s="136" t="s">
        <v>101</v>
      </c>
      <c r="R10" s="53"/>
      <c r="S10" s="51"/>
      <c r="T10" s="114" t="s">
        <v>49</v>
      </c>
      <c r="U10" s="114" t="s">
        <v>50</v>
      </c>
      <c r="W10" t="s">
        <v>138</v>
      </c>
      <c r="X10" t="s">
        <v>139</v>
      </c>
      <c r="Y10" t="s">
        <v>140</v>
      </c>
      <c r="AF10" s="171" t="s">
        <v>152</v>
      </c>
      <c r="AG10" s="171"/>
      <c r="AH10" s="171"/>
      <c r="AI10" s="171" t="s">
        <v>153</v>
      </c>
      <c r="AJ10" s="171"/>
      <c r="AK10" s="171"/>
      <c r="AL10" s="171" t="s">
        <v>154</v>
      </c>
    </row>
    <row r="11" spans="1:38" ht="15.75" x14ac:dyDescent="0.25">
      <c r="A11" s="2">
        <f>DATE(H1,D1,1)</f>
        <v>46204</v>
      </c>
      <c r="B11" s="2">
        <f>CODE(TEXT(A11,"TTTT"))</f>
        <v>84</v>
      </c>
      <c r="C11" s="54" t="str">
        <f t="shared" ref="C11:C41" si="0">TEXT(A11,"DD.M. DDDD")</f>
        <v>01.7. środa</v>
      </c>
      <c r="D11" s="159"/>
      <c r="E11" s="117" t="str">
        <f>IF(D11="w","wolne",IF(D11="u","urlop",IF(D11="c","choroba",IF(D11="g","godziny",IF(D11="a","nieobecny",IF(D11="op","opieka"," "))))))</f>
        <v xml:space="preserve"> </v>
      </c>
      <c r="F11" s="115">
        <v>8</v>
      </c>
      <c r="G11" s="115">
        <v>16</v>
      </c>
      <c r="H11" s="55">
        <f t="shared" ref="H11:H41" si="1">IF(D11="d",(((((TRUNC(G11)-1)-TRUNC(F11))*60)+((G11-TRUNC(G11))*100)+(60-(F11-TRUNC(F11))*100))-(IF(M11&lt;przerwa1,pause,przerwa1)))/60,IF((OR((B11=83),(D11="u"),(D11="uz"),(D11="a"),(D11="c"),(D11="s"),(AND(D11="w",F11="")),(D11="oc"),(D11="um"),(D11="op"),(D11="oc"))),"",IF(OR(D11="g",AND(D11="gp",F11="")),0,TRUNC((((TRUNC(G11)*60+(G11-(TRUNC(G11)))*100)-(TRUNC(F11)*60+(F11-TRUNC(F11))*100))-(IF(M11&lt;przerwa1,pause,przerwa1)))/60)+(((((TRUNC(G11)*60+(G11-(TRUNC(G11)))*100)-(TRUNC(F11)*60+(F11-TRUNC(F11))*100))-(IF(M11&lt;przerwa1,pause,przerwa1)))/60)-TRUNC(((((TRUNC(G11)*60+(G11-(TRUNC(G11)))*100)-(TRUNC(F11)*60+(F11-TRUNC(F11))*100))-(IF(M11&lt;przerwa1,pause,przerwa1)))/60)))*60/100)))</f>
        <v>8</v>
      </c>
      <c r="I11" s="55">
        <f t="shared" ref="I11:I41" si="2">IF(AND(D11="gp",F11=""),-(TRUNC(godz/1.5)+((godz/1.5)-TRUNC(godz/1.5))*60/100),IF(AND(D11="gp",F11&lt;&gt;"",G11&lt;&gt;""),ROUND(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+(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-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)*60/100,2),IF(OR((B11=83),(D11="w"),(D11="s"),(D11="c"),(D11="a"),(D11="oc"),(D11="um"),(D11="op"),(D11="uz"),(D11="u")),"",ROUND((TRUNC(H11-godz)+(((TRUNC(H11)*60)+(H11-TRUNC(H11))*100)-(godz*60)-(TRUNC(H11-godz)*60))/100),2))))</f>
        <v>0</v>
      </c>
      <c r="J11" s="56">
        <f t="shared" ref="J11:J41" si="3">IF(D11="gp",(TRUNC(I11)*60+(I11-TRUNC(I11))*100),IF(OR((I11=""),(B11=83)),"",IF((I11=0),0,TRUNC(H11-godz)*60+(((TRUNC(H11)*60)+(H11-TRUNC(H11))*100)-(godz*60)-(TRUNC(H11-godz)*60)))))</f>
        <v>0</v>
      </c>
      <c r="K11" s="57">
        <f>IF(OR((B11=83),(D11="w")),0,1)</f>
        <v>1</v>
      </c>
      <c r="L11" s="57">
        <f>IF(OR((D11="c"),(D11="u"),(D11="uz"),(D11="um"),(D11="op"),(D11="oc"),(D11="s")),1,0)</f>
        <v>0</v>
      </c>
      <c r="M11" s="58" t="str">
        <f t="shared" ref="M11:M41" si="4">IF(((((((TRUNC(G11)-1)-TRUNC(F11))*60)+((G11-TRUNC(G11))*100)+(60-(F11-TRUNC(F11))*100)))/100)&lt;pause2,"przerwa1","pause")</f>
        <v>przerwa1</v>
      </c>
      <c r="N11" s="57">
        <f>IF(OR((B11=83),(D11="w"),(D11="g"),(D11="c"),(D11="u"),(D11="uz"),(D11="op"),(D11="oc")),0,1)</f>
        <v>1</v>
      </c>
      <c r="O11" s="137"/>
      <c r="P11" s="149"/>
      <c r="Q11" s="138"/>
      <c r="R11" s="8"/>
      <c r="S11" s="60">
        <f t="shared" ref="S11:S41" si="5">IF(H11&lt;&gt;"",IF(D11="w",((TRUNC(H11)*60)+(H11-TRUNC(H11))*100),((TRUNC(H11)*60+(H11-TRUNC(H11))*100)-pause2*60-O11))," ")</f>
        <v>0</v>
      </c>
      <c r="T11" s="60" t="str">
        <f>IF(S11&gt;0,S11," ")</f>
        <v xml:space="preserve"> </v>
      </c>
      <c r="U11" s="60" t="str">
        <f>IF(S11&lt;0,S11," ")</f>
        <v xml:space="preserve"> </v>
      </c>
      <c r="W11">
        <f>IF(H11="",0,TRUNC(H11)*60)</f>
        <v>480</v>
      </c>
      <c r="X11">
        <f>IF(H11="",0,ROUND((H11-TRUNC(H11))*100,0)-O11)</f>
        <v>0</v>
      </c>
      <c r="Y11">
        <f>IF(D11="gp",(TRUNC(I11)*60+(I11-TRUNC(I11))*100),(IF(D11="g",(TRUNC(I11)*60+(I11-TRUNC(I11))*100),W11+X11)))</f>
        <v>480</v>
      </c>
      <c r="AD11" s="158">
        <f t="shared" ref="AD11:AD12" si="6">TRUNC(F11)</f>
        <v>8</v>
      </c>
      <c r="AE11" s="158">
        <f t="shared" ref="AE11:AE12" si="7">F11-TRUNC(F11)</f>
        <v>0</v>
      </c>
      <c r="AF11" s="64">
        <f t="shared" ref="AF11:AF12" si="8">IF(F11&lt;&gt;0,AD11+(AE11/0.6)," ")</f>
        <v>8</v>
      </c>
      <c r="AG11" s="169">
        <f t="shared" ref="AG11:AG12" si="9">TRUNC(G11)</f>
        <v>16</v>
      </c>
      <c r="AH11" s="169">
        <f t="shared" ref="AH11:AH12" si="10">G11-TRUNC(G11)</f>
        <v>0</v>
      </c>
      <c r="AI11" s="64">
        <f t="shared" ref="AI11:AI12" si="11">IF(G11&lt;&gt;0,AG11+(AH11/0.6)," ")</f>
        <v>16</v>
      </c>
      <c r="AJ11" s="169">
        <f t="shared" ref="AJ11:AJ12" si="12">IF(H11&lt;&gt;"",TRUNC(H11),"")</f>
        <v>8</v>
      </c>
      <c r="AK11" s="169">
        <f t="shared" ref="AK11:AK12" si="13">IF(H11&lt;&gt;"",H11-AJ11,"")</f>
        <v>0</v>
      </c>
      <c r="AL11" s="64">
        <f t="shared" ref="AL11:AL12" si="14">IF(H11&lt;&gt;"",AJ11+(AK11/0.6)," ")</f>
        <v>8</v>
      </c>
    </row>
    <row r="12" spans="1:38" ht="15.75" x14ac:dyDescent="0.25">
      <c r="A12" s="2">
        <f>(A11+1)</f>
        <v>46205</v>
      </c>
      <c r="B12" s="2">
        <f t="shared" ref="B12:B41" si="15">CODE(TEXT(A12,"TTTT"))</f>
        <v>84</v>
      </c>
      <c r="C12" s="54" t="str">
        <f t="shared" si="0"/>
        <v>02.7. czwartek</v>
      </c>
      <c r="D12" s="159"/>
      <c r="E12" s="117" t="str">
        <f t="shared" ref="E12:E41" si="16">IF(D12="w","wolne",IF(D12="u","urlop",IF(D12="c","choroba",IF(D12="g","godziny",IF(D12="a","nieobecny",IF(D12="op","opieka"," "))))))</f>
        <v xml:space="preserve"> </v>
      </c>
      <c r="F12" s="115">
        <v>8</v>
      </c>
      <c r="G12" s="115">
        <v>16</v>
      </c>
      <c r="H12" s="55">
        <f t="shared" si="1"/>
        <v>8</v>
      </c>
      <c r="I12" s="55">
        <f t="shared" si="2"/>
        <v>0</v>
      </c>
      <c r="J12" s="56">
        <f t="shared" si="3"/>
        <v>0</v>
      </c>
      <c r="K12" s="57">
        <f>IF(OR((B12=83),(D12="w")),0,1)</f>
        <v>1</v>
      </c>
      <c r="L12" s="57">
        <f t="shared" ref="L12:L41" si="17">IF(OR((D12="c"),(D12="u"),(D12="uz"),(D12="um"),(D12="op"),(D12="oc"),(D12="s")),1,0)</f>
        <v>0</v>
      </c>
      <c r="M12" s="58" t="str">
        <f t="shared" si="4"/>
        <v>przerwa1</v>
      </c>
      <c r="N12" s="57">
        <f t="shared" ref="N12:N41" si="18">IF(OR((B12=83),(D12="w"),(D12="g"),(D12="c"),(D12="u"),(D12="uz"),(D12="op"),(D12="oc")),0,1)</f>
        <v>1</v>
      </c>
      <c r="O12" s="138"/>
      <c r="P12" s="149"/>
      <c r="Q12" s="138"/>
      <c r="R12" s="8"/>
      <c r="S12" s="60">
        <f t="shared" si="5"/>
        <v>0</v>
      </c>
      <c r="T12" s="60" t="str">
        <f t="shared" ref="T12:T41" si="19">IF(S12&gt;0,S12," ")</f>
        <v xml:space="preserve"> </v>
      </c>
      <c r="U12" s="60" t="str">
        <f t="shared" ref="U12:U41" si="20">IF(S12&lt;0,S12," ")</f>
        <v xml:space="preserve"> </v>
      </c>
      <c r="W12">
        <f t="shared" ref="W12:W41" si="21">IF(H12="",0,TRUNC(H12)*60)</f>
        <v>480</v>
      </c>
      <c r="X12">
        <f t="shared" ref="X12:X41" si="22">IF(H12="",0,ROUND((H12-TRUNC(H12))*100,0)-O12)</f>
        <v>0</v>
      </c>
      <c r="Y12">
        <f t="shared" ref="Y12:Y41" si="23">IF(D12="gp",(TRUNC(I12)*60+(I12-TRUNC(I12))*100),(IF(D12="g",(TRUNC(I12)*60+(I12-TRUNC(I12))*100),W12+X12)))</f>
        <v>480</v>
      </c>
      <c r="AD12" s="158">
        <f t="shared" si="6"/>
        <v>8</v>
      </c>
      <c r="AE12" s="158">
        <f t="shared" si="7"/>
        <v>0</v>
      </c>
      <c r="AF12" s="64">
        <f t="shared" si="8"/>
        <v>8</v>
      </c>
      <c r="AG12" s="169">
        <f t="shared" si="9"/>
        <v>16</v>
      </c>
      <c r="AH12" s="169">
        <f t="shared" si="10"/>
        <v>0</v>
      </c>
      <c r="AI12" s="64">
        <f t="shared" si="11"/>
        <v>16</v>
      </c>
      <c r="AJ12" s="169">
        <f t="shared" si="12"/>
        <v>8</v>
      </c>
      <c r="AK12" s="169">
        <f t="shared" si="13"/>
        <v>0</v>
      </c>
      <c r="AL12" s="64">
        <f t="shared" si="14"/>
        <v>8</v>
      </c>
    </row>
    <row r="13" spans="1:38" ht="15.75" x14ac:dyDescent="0.25">
      <c r="A13" s="2">
        <f t="shared" ref="A13:A41" si="24">(A12+1)</f>
        <v>46206</v>
      </c>
      <c r="B13" s="2">
        <f t="shared" si="15"/>
        <v>84</v>
      </c>
      <c r="C13" s="54" t="str">
        <f t="shared" si="0"/>
        <v>03.7. piątek</v>
      </c>
      <c r="D13" s="159"/>
      <c r="E13" s="117" t="str">
        <f t="shared" si="16"/>
        <v xml:space="preserve"> </v>
      </c>
      <c r="F13" s="115">
        <v>8</v>
      </c>
      <c r="G13" s="115">
        <v>16</v>
      </c>
      <c r="H13" s="55">
        <f t="shared" si="1"/>
        <v>8</v>
      </c>
      <c r="I13" s="55">
        <f t="shared" si="2"/>
        <v>0</v>
      </c>
      <c r="J13" s="56">
        <f t="shared" si="3"/>
        <v>0</v>
      </c>
      <c r="K13" s="57">
        <f>IF(OR((B13=83),(D13="w")),0,1)</f>
        <v>1</v>
      </c>
      <c r="L13" s="57">
        <f t="shared" si="17"/>
        <v>0</v>
      </c>
      <c r="M13" s="58" t="str">
        <f t="shared" si="4"/>
        <v>przerwa1</v>
      </c>
      <c r="N13" s="57">
        <f t="shared" si="18"/>
        <v>1</v>
      </c>
      <c r="O13" s="138"/>
      <c r="P13" s="149"/>
      <c r="Q13" s="137"/>
      <c r="R13" s="8"/>
      <c r="S13" s="60">
        <f t="shared" si="5"/>
        <v>0</v>
      </c>
      <c r="T13" s="60" t="str">
        <f t="shared" si="19"/>
        <v xml:space="preserve"> </v>
      </c>
      <c r="U13" s="60" t="str">
        <f t="shared" si="20"/>
        <v xml:space="preserve"> </v>
      </c>
      <c r="V13" s="158"/>
      <c r="W13">
        <f t="shared" si="21"/>
        <v>480</v>
      </c>
      <c r="X13">
        <f t="shared" si="22"/>
        <v>0</v>
      </c>
      <c r="Y13">
        <f t="shared" si="23"/>
        <v>480</v>
      </c>
      <c r="AD13" s="158">
        <f>TRUNC(F13)</f>
        <v>8</v>
      </c>
      <c r="AE13" s="158">
        <f>F13-TRUNC(F13)</f>
        <v>0</v>
      </c>
      <c r="AF13" s="64">
        <f>IF(F13&lt;&gt;0,AD13+(AE13/0.6)," ")</f>
        <v>8</v>
      </c>
      <c r="AG13" s="169">
        <f>TRUNC(G13)</f>
        <v>16</v>
      </c>
      <c r="AH13" s="169">
        <f>G13-TRUNC(G13)</f>
        <v>0</v>
      </c>
      <c r="AI13" s="64">
        <f>IF(G13&lt;&gt;0,AG13+(AH13/0.6)," ")</f>
        <v>16</v>
      </c>
      <c r="AJ13" s="169">
        <f>IF(H13&lt;&gt;"",TRUNC(H13),"")</f>
        <v>8</v>
      </c>
      <c r="AK13" s="169">
        <f>IF(H13&lt;&gt;"",H13-AJ13,"")</f>
        <v>0</v>
      </c>
      <c r="AL13" s="64">
        <f>IF(H13&lt;&gt;"",AJ13+(AK13/0.6)," ")</f>
        <v>8</v>
      </c>
    </row>
    <row r="14" spans="1:38" ht="15.75" x14ac:dyDescent="0.25">
      <c r="A14" s="2">
        <f t="shared" si="24"/>
        <v>46207</v>
      </c>
      <c r="B14" s="2">
        <f t="shared" si="15"/>
        <v>84</v>
      </c>
      <c r="C14" s="54" t="str">
        <f t="shared" si="0"/>
        <v>04.7. sobota</v>
      </c>
      <c r="D14" s="159" t="s">
        <v>47</v>
      </c>
      <c r="E14" s="117" t="str">
        <f t="shared" si="16"/>
        <v>wolne</v>
      </c>
      <c r="F14" s="115"/>
      <c r="G14" s="115"/>
      <c r="H14" s="55" t="str">
        <f t="shared" si="1"/>
        <v/>
      </c>
      <c r="I14" s="55" t="str">
        <f t="shared" si="2"/>
        <v/>
      </c>
      <c r="J14" s="56" t="str">
        <f t="shared" si="3"/>
        <v/>
      </c>
      <c r="K14" s="57">
        <f>IF(OR((B14=83),(D14="w")),0,1)</f>
        <v>0</v>
      </c>
      <c r="L14" s="57">
        <f t="shared" si="17"/>
        <v>0</v>
      </c>
      <c r="M14" s="58" t="str">
        <f t="shared" si="4"/>
        <v>przerwa1</v>
      </c>
      <c r="N14" s="57">
        <f t="shared" si="18"/>
        <v>0</v>
      </c>
      <c r="O14" s="138"/>
      <c r="P14" s="149"/>
      <c r="Q14" s="137"/>
      <c r="R14" s="8"/>
      <c r="S14" s="60" t="str">
        <f t="shared" si="5"/>
        <v xml:space="preserve"> </v>
      </c>
      <c r="T14" s="60" t="str">
        <f t="shared" si="19"/>
        <v xml:space="preserve"> </v>
      </c>
      <c r="U14" s="60" t="str">
        <f t="shared" si="20"/>
        <v xml:space="preserve"> </v>
      </c>
      <c r="W14">
        <f t="shared" si="21"/>
        <v>0</v>
      </c>
      <c r="X14">
        <f t="shared" si="22"/>
        <v>0</v>
      </c>
      <c r="Y14">
        <f t="shared" si="23"/>
        <v>0</v>
      </c>
      <c r="AD14" s="158">
        <f t="shared" ref="AD14:AD41" si="25">TRUNC(F14)</f>
        <v>0</v>
      </c>
      <c r="AE14" s="158">
        <f t="shared" ref="AE14:AE41" si="26">F14-TRUNC(F14)</f>
        <v>0</v>
      </c>
      <c r="AF14" s="64" t="str">
        <f t="shared" ref="AF14:AF41" si="27">IF(F14&lt;&gt;0,AD14+(AE14/0.6)," ")</f>
        <v xml:space="preserve"> </v>
      </c>
      <c r="AG14" s="169">
        <f t="shared" ref="AG14:AG41" si="28">TRUNC(G14)</f>
        <v>0</v>
      </c>
      <c r="AH14" s="169">
        <f t="shared" ref="AH14:AH41" si="29">G14-TRUNC(G14)</f>
        <v>0</v>
      </c>
      <c r="AI14" s="64" t="str">
        <f t="shared" ref="AI14:AI41" si="30">IF(G14&lt;&gt;0,AG14+(AH14/0.6)," ")</f>
        <v xml:space="preserve"> </v>
      </c>
      <c r="AJ14" s="169" t="str">
        <f t="shared" ref="AJ14:AJ41" si="31">IF(H14&lt;&gt;"",TRUNC(H14),"")</f>
        <v/>
      </c>
      <c r="AK14" s="169" t="str">
        <f t="shared" ref="AK14:AK41" si="32">IF(H14&lt;&gt;"",H14-AJ14,"")</f>
        <v/>
      </c>
      <c r="AL14" s="64" t="str">
        <f t="shared" ref="AL14:AL41" si="33">IF(H14&lt;&gt;"",AJ14+(AK14/0.6)," ")</f>
        <v xml:space="preserve"> </v>
      </c>
    </row>
    <row r="15" spans="1:38" ht="15.75" x14ac:dyDescent="0.25">
      <c r="A15" s="2">
        <f t="shared" si="24"/>
        <v>46208</v>
      </c>
      <c r="B15" s="2">
        <f t="shared" si="15"/>
        <v>84</v>
      </c>
      <c r="C15" s="54" t="str">
        <f t="shared" si="0"/>
        <v>05.7. niedziela</v>
      </c>
      <c r="D15" s="159" t="s">
        <v>47</v>
      </c>
      <c r="E15" s="117" t="str">
        <f t="shared" si="16"/>
        <v>wolne</v>
      </c>
      <c r="F15" s="115"/>
      <c r="G15" s="115"/>
      <c r="H15" s="55" t="str">
        <f t="shared" si="1"/>
        <v/>
      </c>
      <c r="I15" s="55" t="str">
        <f t="shared" si="2"/>
        <v/>
      </c>
      <c r="J15" s="56" t="str">
        <f t="shared" si="3"/>
        <v/>
      </c>
      <c r="K15" s="57">
        <f t="shared" ref="K15:K42" si="34">IF(OR((B15=83),(D15="w")),0,1)</f>
        <v>0</v>
      </c>
      <c r="L15" s="57">
        <f t="shared" si="17"/>
        <v>0</v>
      </c>
      <c r="M15" s="58" t="str">
        <f t="shared" si="4"/>
        <v>przerwa1</v>
      </c>
      <c r="N15" s="57">
        <f t="shared" si="18"/>
        <v>0</v>
      </c>
      <c r="O15" s="138"/>
      <c r="P15" s="149"/>
      <c r="Q15" s="137"/>
      <c r="R15" s="8"/>
      <c r="S15" s="60" t="str">
        <f t="shared" si="5"/>
        <v xml:space="preserve"> </v>
      </c>
      <c r="T15" s="60" t="str">
        <f t="shared" si="19"/>
        <v xml:space="preserve"> </v>
      </c>
      <c r="U15" s="60" t="str">
        <f t="shared" si="20"/>
        <v xml:space="preserve"> </v>
      </c>
      <c r="W15">
        <f t="shared" si="21"/>
        <v>0</v>
      </c>
      <c r="X15">
        <f t="shared" si="22"/>
        <v>0</v>
      </c>
      <c r="Y15">
        <f t="shared" si="23"/>
        <v>0</v>
      </c>
      <c r="AD15" s="158">
        <f t="shared" si="25"/>
        <v>0</v>
      </c>
      <c r="AE15" s="158">
        <f t="shared" si="26"/>
        <v>0</v>
      </c>
      <c r="AF15" s="64" t="str">
        <f t="shared" si="27"/>
        <v xml:space="preserve"> </v>
      </c>
      <c r="AG15" s="169">
        <f t="shared" si="28"/>
        <v>0</v>
      </c>
      <c r="AH15" s="169">
        <f t="shared" si="29"/>
        <v>0</v>
      </c>
      <c r="AI15" s="64" t="str">
        <f t="shared" si="30"/>
        <v xml:space="preserve"> </v>
      </c>
      <c r="AJ15" s="169" t="str">
        <f t="shared" si="31"/>
        <v/>
      </c>
      <c r="AK15" s="169" t="str">
        <f t="shared" si="32"/>
        <v/>
      </c>
      <c r="AL15" s="64" t="str">
        <f t="shared" si="33"/>
        <v xml:space="preserve"> </v>
      </c>
    </row>
    <row r="16" spans="1:38" ht="15.75" x14ac:dyDescent="0.25">
      <c r="A16" s="2">
        <f t="shared" si="24"/>
        <v>46209</v>
      </c>
      <c r="B16" s="2">
        <f t="shared" si="15"/>
        <v>84</v>
      </c>
      <c r="C16" s="54" t="str">
        <f t="shared" si="0"/>
        <v>06.7. poniedziałek</v>
      </c>
      <c r="D16" s="159"/>
      <c r="E16" s="117" t="str">
        <f t="shared" si="16"/>
        <v xml:space="preserve"> </v>
      </c>
      <c r="F16" s="115">
        <v>8</v>
      </c>
      <c r="G16" s="115">
        <v>16</v>
      </c>
      <c r="H16" s="55">
        <f t="shared" si="1"/>
        <v>8</v>
      </c>
      <c r="I16" s="55">
        <f t="shared" si="2"/>
        <v>0</v>
      </c>
      <c r="J16" s="56">
        <f t="shared" si="3"/>
        <v>0</v>
      </c>
      <c r="K16" s="57">
        <f t="shared" si="34"/>
        <v>1</v>
      </c>
      <c r="L16" s="57">
        <f t="shared" si="17"/>
        <v>0</v>
      </c>
      <c r="M16" s="58" t="str">
        <f t="shared" si="4"/>
        <v>przerwa1</v>
      </c>
      <c r="N16" s="57">
        <f t="shared" si="18"/>
        <v>1</v>
      </c>
      <c r="O16" s="138"/>
      <c r="P16" s="149"/>
      <c r="Q16" s="138"/>
      <c r="R16" s="8"/>
      <c r="S16" s="60">
        <f t="shared" si="5"/>
        <v>0</v>
      </c>
      <c r="T16" s="60" t="str">
        <f t="shared" si="19"/>
        <v xml:space="preserve"> </v>
      </c>
      <c r="U16" s="60" t="str">
        <f t="shared" si="20"/>
        <v xml:space="preserve"> </v>
      </c>
      <c r="W16">
        <f t="shared" si="21"/>
        <v>480</v>
      </c>
      <c r="X16">
        <f t="shared" si="22"/>
        <v>0</v>
      </c>
      <c r="Y16">
        <f t="shared" si="23"/>
        <v>480</v>
      </c>
      <c r="AD16" s="158">
        <f t="shared" si="25"/>
        <v>8</v>
      </c>
      <c r="AE16" s="158">
        <f t="shared" si="26"/>
        <v>0</v>
      </c>
      <c r="AF16" s="64">
        <f t="shared" si="27"/>
        <v>8</v>
      </c>
      <c r="AG16" s="169">
        <f t="shared" si="28"/>
        <v>16</v>
      </c>
      <c r="AH16" s="169">
        <f t="shared" si="29"/>
        <v>0</v>
      </c>
      <c r="AI16" s="64">
        <f t="shared" si="30"/>
        <v>16</v>
      </c>
      <c r="AJ16" s="169">
        <f t="shared" si="31"/>
        <v>8</v>
      </c>
      <c r="AK16" s="169">
        <f t="shared" si="32"/>
        <v>0</v>
      </c>
      <c r="AL16" s="64">
        <f t="shared" si="33"/>
        <v>8</v>
      </c>
    </row>
    <row r="17" spans="1:38" ht="15.75" x14ac:dyDescent="0.25">
      <c r="A17" s="2">
        <f t="shared" si="24"/>
        <v>46210</v>
      </c>
      <c r="B17" s="2">
        <f t="shared" si="15"/>
        <v>84</v>
      </c>
      <c r="C17" s="54" t="str">
        <f t="shared" si="0"/>
        <v>07.7. wtorek</v>
      </c>
      <c r="D17" s="159"/>
      <c r="E17" s="117" t="str">
        <f t="shared" si="16"/>
        <v xml:space="preserve"> </v>
      </c>
      <c r="F17" s="115">
        <v>8</v>
      </c>
      <c r="G17" s="115">
        <v>16</v>
      </c>
      <c r="H17" s="55">
        <f t="shared" si="1"/>
        <v>8</v>
      </c>
      <c r="I17" s="55">
        <f t="shared" si="2"/>
        <v>0</v>
      </c>
      <c r="J17" s="56">
        <f t="shared" si="3"/>
        <v>0</v>
      </c>
      <c r="K17" s="57">
        <f t="shared" si="34"/>
        <v>1</v>
      </c>
      <c r="L17" s="57">
        <f t="shared" si="17"/>
        <v>0</v>
      </c>
      <c r="M17" s="58" t="str">
        <f t="shared" si="4"/>
        <v>przerwa1</v>
      </c>
      <c r="N17" s="57">
        <f t="shared" si="18"/>
        <v>1</v>
      </c>
      <c r="O17" s="138"/>
      <c r="P17" s="149"/>
      <c r="Q17" s="138"/>
      <c r="R17" s="8"/>
      <c r="S17" s="60">
        <f t="shared" si="5"/>
        <v>0</v>
      </c>
      <c r="T17" s="60" t="str">
        <f t="shared" si="19"/>
        <v xml:space="preserve"> </v>
      </c>
      <c r="U17" s="60" t="str">
        <f t="shared" si="20"/>
        <v xml:space="preserve"> </v>
      </c>
      <c r="W17">
        <f t="shared" si="21"/>
        <v>480</v>
      </c>
      <c r="X17">
        <f t="shared" si="22"/>
        <v>0</v>
      </c>
      <c r="Y17">
        <f t="shared" si="23"/>
        <v>480</v>
      </c>
      <c r="AD17" s="158">
        <f t="shared" si="25"/>
        <v>8</v>
      </c>
      <c r="AE17" s="158">
        <f t="shared" si="26"/>
        <v>0</v>
      </c>
      <c r="AF17" s="64">
        <f t="shared" si="27"/>
        <v>8</v>
      </c>
      <c r="AG17" s="169">
        <f t="shared" si="28"/>
        <v>16</v>
      </c>
      <c r="AH17" s="169">
        <f t="shared" si="29"/>
        <v>0</v>
      </c>
      <c r="AI17" s="64">
        <f t="shared" si="30"/>
        <v>16</v>
      </c>
      <c r="AJ17" s="169">
        <f t="shared" si="31"/>
        <v>8</v>
      </c>
      <c r="AK17" s="169">
        <f t="shared" si="32"/>
        <v>0</v>
      </c>
      <c r="AL17" s="64">
        <f t="shared" si="33"/>
        <v>8</v>
      </c>
    </row>
    <row r="18" spans="1:38" ht="15.75" x14ac:dyDescent="0.25">
      <c r="A18" s="2">
        <f t="shared" si="24"/>
        <v>46211</v>
      </c>
      <c r="B18" s="2">
        <f t="shared" si="15"/>
        <v>84</v>
      </c>
      <c r="C18" s="54" t="str">
        <f t="shared" si="0"/>
        <v>08.7. środa</v>
      </c>
      <c r="D18" s="159"/>
      <c r="E18" s="117" t="str">
        <f t="shared" si="16"/>
        <v xml:space="preserve"> </v>
      </c>
      <c r="F18" s="115">
        <v>8</v>
      </c>
      <c r="G18" s="115">
        <v>16</v>
      </c>
      <c r="H18" s="55">
        <f t="shared" si="1"/>
        <v>8</v>
      </c>
      <c r="I18" s="55">
        <f t="shared" si="2"/>
        <v>0</v>
      </c>
      <c r="J18" s="56">
        <f t="shared" si="3"/>
        <v>0</v>
      </c>
      <c r="K18" s="57">
        <f t="shared" si="34"/>
        <v>1</v>
      </c>
      <c r="L18" s="57">
        <f t="shared" si="17"/>
        <v>0</v>
      </c>
      <c r="M18" s="58" t="str">
        <f t="shared" si="4"/>
        <v>przerwa1</v>
      </c>
      <c r="N18" s="57">
        <f t="shared" si="18"/>
        <v>1</v>
      </c>
      <c r="O18" s="138"/>
      <c r="P18" s="149"/>
      <c r="Q18" s="138"/>
      <c r="R18" s="8"/>
      <c r="S18" s="60">
        <f t="shared" si="5"/>
        <v>0</v>
      </c>
      <c r="T18" s="60" t="str">
        <f t="shared" si="19"/>
        <v xml:space="preserve"> </v>
      </c>
      <c r="U18" s="60" t="str">
        <f t="shared" si="20"/>
        <v xml:space="preserve"> </v>
      </c>
      <c r="W18">
        <f t="shared" si="21"/>
        <v>480</v>
      </c>
      <c r="X18">
        <f t="shared" si="22"/>
        <v>0</v>
      </c>
      <c r="Y18">
        <f t="shared" si="23"/>
        <v>480</v>
      </c>
      <c r="AD18" s="158">
        <f t="shared" si="25"/>
        <v>8</v>
      </c>
      <c r="AE18" s="158">
        <f t="shared" si="26"/>
        <v>0</v>
      </c>
      <c r="AF18" s="64">
        <f t="shared" si="27"/>
        <v>8</v>
      </c>
      <c r="AG18" s="169">
        <f t="shared" si="28"/>
        <v>16</v>
      </c>
      <c r="AH18" s="169">
        <f t="shared" si="29"/>
        <v>0</v>
      </c>
      <c r="AI18" s="64">
        <f t="shared" si="30"/>
        <v>16</v>
      </c>
      <c r="AJ18" s="169">
        <f t="shared" si="31"/>
        <v>8</v>
      </c>
      <c r="AK18" s="169">
        <f t="shared" si="32"/>
        <v>0</v>
      </c>
      <c r="AL18" s="64">
        <f t="shared" si="33"/>
        <v>8</v>
      </c>
    </row>
    <row r="19" spans="1:38" ht="15.75" x14ac:dyDescent="0.25">
      <c r="A19" s="2">
        <f t="shared" si="24"/>
        <v>46212</v>
      </c>
      <c r="B19" s="2">
        <f t="shared" si="15"/>
        <v>84</v>
      </c>
      <c r="C19" s="54" t="str">
        <f t="shared" si="0"/>
        <v>09.7. czwartek</v>
      </c>
      <c r="D19" s="159"/>
      <c r="E19" s="117" t="str">
        <f t="shared" si="16"/>
        <v xml:space="preserve"> </v>
      </c>
      <c r="F19" s="115">
        <v>8</v>
      </c>
      <c r="G19" s="115">
        <v>16</v>
      </c>
      <c r="H19" s="55">
        <f t="shared" si="1"/>
        <v>8</v>
      </c>
      <c r="I19" s="55">
        <f t="shared" si="2"/>
        <v>0</v>
      </c>
      <c r="J19" s="56">
        <f t="shared" si="3"/>
        <v>0</v>
      </c>
      <c r="K19" s="57">
        <f t="shared" si="34"/>
        <v>1</v>
      </c>
      <c r="L19" s="57">
        <f t="shared" si="17"/>
        <v>0</v>
      </c>
      <c r="M19" s="58" t="str">
        <f t="shared" si="4"/>
        <v>przerwa1</v>
      </c>
      <c r="N19" s="57">
        <f t="shared" si="18"/>
        <v>1</v>
      </c>
      <c r="O19" s="138"/>
      <c r="P19" s="149"/>
      <c r="Q19" s="137"/>
      <c r="R19" s="8"/>
      <c r="S19" s="60">
        <f t="shared" si="5"/>
        <v>0</v>
      </c>
      <c r="T19" s="60" t="str">
        <f t="shared" si="19"/>
        <v xml:space="preserve"> </v>
      </c>
      <c r="U19" s="60" t="str">
        <f t="shared" si="20"/>
        <v xml:space="preserve"> </v>
      </c>
      <c r="W19">
        <f t="shared" si="21"/>
        <v>480</v>
      </c>
      <c r="X19">
        <f t="shared" si="22"/>
        <v>0</v>
      </c>
      <c r="Y19">
        <f t="shared" si="23"/>
        <v>480</v>
      </c>
      <c r="AD19" s="158">
        <f t="shared" si="25"/>
        <v>8</v>
      </c>
      <c r="AE19" s="158">
        <f t="shared" si="26"/>
        <v>0</v>
      </c>
      <c r="AF19" s="64">
        <f t="shared" si="27"/>
        <v>8</v>
      </c>
      <c r="AG19" s="169">
        <f t="shared" si="28"/>
        <v>16</v>
      </c>
      <c r="AH19" s="169">
        <f t="shared" si="29"/>
        <v>0</v>
      </c>
      <c r="AI19" s="64">
        <f t="shared" si="30"/>
        <v>16</v>
      </c>
      <c r="AJ19" s="169">
        <f t="shared" si="31"/>
        <v>8</v>
      </c>
      <c r="AK19" s="169">
        <f t="shared" si="32"/>
        <v>0</v>
      </c>
      <c r="AL19" s="64">
        <f t="shared" si="33"/>
        <v>8</v>
      </c>
    </row>
    <row r="20" spans="1:38" ht="15.75" x14ac:dyDescent="0.25">
      <c r="A20" s="2">
        <f t="shared" si="24"/>
        <v>46213</v>
      </c>
      <c r="B20" s="2">
        <f t="shared" si="15"/>
        <v>84</v>
      </c>
      <c r="C20" s="54" t="str">
        <f t="shared" si="0"/>
        <v>10.7. piątek</v>
      </c>
      <c r="D20" s="159"/>
      <c r="E20" s="117" t="str">
        <f t="shared" si="16"/>
        <v xml:space="preserve"> </v>
      </c>
      <c r="F20" s="115">
        <v>8</v>
      </c>
      <c r="G20" s="115">
        <v>16</v>
      </c>
      <c r="H20" s="55">
        <f t="shared" si="1"/>
        <v>8</v>
      </c>
      <c r="I20" s="55">
        <f t="shared" si="2"/>
        <v>0</v>
      </c>
      <c r="J20" s="56">
        <f t="shared" si="3"/>
        <v>0</v>
      </c>
      <c r="K20" s="57">
        <f t="shared" si="34"/>
        <v>1</v>
      </c>
      <c r="L20" s="57">
        <f t="shared" si="17"/>
        <v>0</v>
      </c>
      <c r="M20" s="58" t="str">
        <f t="shared" si="4"/>
        <v>przerwa1</v>
      </c>
      <c r="N20" s="57">
        <f t="shared" si="18"/>
        <v>1</v>
      </c>
      <c r="O20" s="138"/>
      <c r="P20" s="149"/>
      <c r="Q20" s="137"/>
      <c r="R20" s="8"/>
      <c r="S20" s="60">
        <f t="shared" si="5"/>
        <v>0</v>
      </c>
      <c r="T20" s="60" t="str">
        <f t="shared" si="19"/>
        <v xml:space="preserve"> </v>
      </c>
      <c r="U20" s="60" t="str">
        <f t="shared" si="20"/>
        <v xml:space="preserve"> </v>
      </c>
      <c r="W20">
        <f t="shared" si="21"/>
        <v>480</v>
      </c>
      <c r="X20">
        <f t="shared" si="22"/>
        <v>0</v>
      </c>
      <c r="Y20">
        <f t="shared" si="23"/>
        <v>480</v>
      </c>
      <c r="AD20" s="158">
        <f t="shared" si="25"/>
        <v>8</v>
      </c>
      <c r="AE20" s="158">
        <f t="shared" si="26"/>
        <v>0</v>
      </c>
      <c r="AF20" s="64">
        <f t="shared" si="27"/>
        <v>8</v>
      </c>
      <c r="AG20" s="169">
        <f t="shared" si="28"/>
        <v>16</v>
      </c>
      <c r="AH20" s="169">
        <f t="shared" si="29"/>
        <v>0</v>
      </c>
      <c r="AI20" s="64">
        <f t="shared" si="30"/>
        <v>16</v>
      </c>
      <c r="AJ20" s="169">
        <f t="shared" si="31"/>
        <v>8</v>
      </c>
      <c r="AK20" s="169">
        <f>IF(H20&lt;&gt;"",H20-AJ20,"")</f>
        <v>0</v>
      </c>
      <c r="AL20" s="64">
        <f t="shared" si="33"/>
        <v>8</v>
      </c>
    </row>
    <row r="21" spans="1:38" ht="15.75" x14ac:dyDescent="0.25">
      <c r="A21" s="2">
        <f t="shared" si="24"/>
        <v>46214</v>
      </c>
      <c r="B21" s="2">
        <f t="shared" si="15"/>
        <v>84</v>
      </c>
      <c r="C21" s="54" t="str">
        <f t="shared" si="0"/>
        <v>11.7. sobota</v>
      </c>
      <c r="D21" s="159" t="s">
        <v>47</v>
      </c>
      <c r="E21" s="117" t="str">
        <f t="shared" si="16"/>
        <v>wolne</v>
      </c>
      <c r="F21" s="115"/>
      <c r="G21" s="115"/>
      <c r="H21" s="55" t="str">
        <f t="shared" si="1"/>
        <v/>
      </c>
      <c r="I21" s="55" t="str">
        <f t="shared" si="2"/>
        <v/>
      </c>
      <c r="J21" s="56" t="str">
        <f t="shared" si="3"/>
        <v/>
      </c>
      <c r="K21" s="57">
        <f t="shared" si="34"/>
        <v>0</v>
      </c>
      <c r="L21" s="57">
        <f t="shared" si="17"/>
        <v>0</v>
      </c>
      <c r="M21" s="58" t="str">
        <f t="shared" si="4"/>
        <v>przerwa1</v>
      </c>
      <c r="N21" s="57">
        <f t="shared" si="18"/>
        <v>0</v>
      </c>
      <c r="O21" s="138"/>
      <c r="P21" s="149"/>
      <c r="Q21" s="137"/>
      <c r="R21" s="8"/>
      <c r="S21" s="60" t="str">
        <f t="shared" si="5"/>
        <v xml:space="preserve"> </v>
      </c>
      <c r="T21" s="60" t="str">
        <f t="shared" si="19"/>
        <v xml:space="preserve"> </v>
      </c>
      <c r="U21" s="60" t="str">
        <f t="shared" si="20"/>
        <v xml:space="preserve"> </v>
      </c>
      <c r="W21">
        <f t="shared" si="21"/>
        <v>0</v>
      </c>
      <c r="X21">
        <f t="shared" si="22"/>
        <v>0</v>
      </c>
      <c r="Y21">
        <f t="shared" si="23"/>
        <v>0</v>
      </c>
      <c r="AD21" s="158">
        <f t="shared" si="25"/>
        <v>0</v>
      </c>
      <c r="AE21" s="158">
        <f t="shared" si="26"/>
        <v>0</v>
      </c>
      <c r="AF21" s="64" t="str">
        <f t="shared" si="27"/>
        <v xml:space="preserve"> </v>
      </c>
      <c r="AG21" s="169">
        <f t="shared" si="28"/>
        <v>0</v>
      </c>
      <c r="AH21" s="169">
        <f t="shared" si="29"/>
        <v>0</v>
      </c>
      <c r="AI21" s="64" t="str">
        <f t="shared" si="30"/>
        <v xml:space="preserve"> </v>
      </c>
      <c r="AJ21" s="169" t="str">
        <f t="shared" si="31"/>
        <v/>
      </c>
      <c r="AK21" s="169" t="str">
        <f t="shared" si="32"/>
        <v/>
      </c>
      <c r="AL21" s="64" t="str">
        <f t="shared" si="33"/>
        <v xml:space="preserve"> </v>
      </c>
    </row>
    <row r="22" spans="1:38" ht="15.75" x14ac:dyDescent="0.25">
      <c r="A22" s="2">
        <f t="shared" si="24"/>
        <v>46215</v>
      </c>
      <c r="B22" s="2">
        <f t="shared" si="15"/>
        <v>84</v>
      </c>
      <c r="C22" s="54" t="str">
        <f t="shared" si="0"/>
        <v>12.7. niedziela</v>
      </c>
      <c r="D22" s="159" t="s">
        <v>47</v>
      </c>
      <c r="E22" s="117" t="str">
        <f t="shared" si="16"/>
        <v>wolne</v>
      </c>
      <c r="F22" s="115"/>
      <c r="G22" s="115"/>
      <c r="H22" s="55" t="str">
        <f t="shared" si="1"/>
        <v/>
      </c>
      <c r="I22" s="55" t="str">
        <f t="shared" si="2"/>
        <v/>
      </c>
      <c r="J22" s="56" t="str">
        <f t="shared" si="3"/>
        <v/>
      </c>
      <c r="K22" s="57">
        <f t="shared" si="34"/>
        <v>0</v>
      </c>
      <c r="L22" s="57">
        <f t="shared" si="17"/>
        <v>0</v>
      </c>
      <c r="M22" s="58" t="str">
        <f t="shared" si="4"/>
        <v>przerwa1</v>
      </c>
      <c r="N22" s="57">
        <f t="shared" si="18"/>
        <v>0</v>
      </c>
      <c r="O22" s="138"/>
      <c r="P22" s="149"/>
      <c r="Q22" s="137"/>
      <c r="R22" s="8"/>
      <c r="S22" s="60" t="str">
        <f t="shared" si="5"/>
        <v xml:space="preserve"> </v>
      </c>
      <c r="T22" s="60" t="str">
        <f t="shared" si="19"/>
        <v xml:space="preserve"> </v>
      </c>
      <c r="U22" s="60" t="str">
        <f t="shared" si="20"/>
        <v xml:space="preserve"> </v>
      </c>
      <c r="W22">
        <f t="shared" si="21"/>
        <v>0</v>
      </c>
      <c r="X22">
        <f t="shared" si="22"/>
        <v>0</v>
      </c>
      <c r="Y22">
        <f t="shared" si="23"/>
        <v>0</v>
      </c>
      <c r="AD22" s="158">
        <f t="shared" si="25"/>
        <v>0</v>
      </c>
      <c r="AE22" s="158">
        <f t="shared" si="26"/>
        <v>0</v>
      </c>
      <c r="AF22" s="64" t="str">
        <f t="shared" si="27"/>
        <v xml:space="preserve"> </v>
      </c>
      <c r="AG22" s="169">
        <f t="shared" si="28"/>
        <v>0</v>
      </c>
      <c r="AH22" s="169">
        <f t="shared" si="29"/>
        <v>0</v>
      </c>
      <c r="AI22" s="64" t="str">
        <f t="shared" si="30"/>
        <v xml:space="preserve"> </v>
      </c>
      <c r="AJ22" s="169" t="str">
        <f t="shared" si="31"/>
        <v/>
      </c>
      <c r="AK22" s="169" t="str">
        <f t="shared" si="32"/>
        <v/>
      </c>
      <c r="AL22" s="64" t="str">
        <f t="shared" si="33"/>
        <v xml:space="preserve"> </v>
      </c>
    </row>
    <row r="23" spans="1:38" ht="15.75" x14ac:dyDescent="0.25">
      <c r="A23" s="2">
        <f t="shared" si="24"/>
        <v>46216</v>
      </c>
      <c r="B23" s="2">
        <f t="shared" si="15"/>
        <v>84</v>
      </c>
      <c r="C23" s="54" t="str">
        <f t="shared" si="0"/>
        <v>13.7. poniedziałek</v>
      </c>
      <c r="D23" s="159"/>
      <c r="E23" s="117" t="str">
        <f t="shared" si="16"/>
        <v xml:space="preserve"> </v>
      </c>
      <c r="F23" s="115">
        <v>8</v>
      </c>
      <c r="G23" s="115">
        <v>16</v>
      </c>
      <c r="H23" s="55">
        <f t="shared" si="1"/>
        <v>8</v>
      </c>
      <c r="I23" s="55">
        <f t="shared" si="2"/>
        <v>0</v>
      </c>
      <c r="J23" s="56">
        <f t="shared" si="3"/>
        <v>0</v>
      </c>
      <c r="K23" s="57">
        <f t="shared" si="34"/>
        <v>1</v>
      </c>
      <c r="L23" s="57">
        <f t="shared" si="17"/>
        <v>0</v>
      </c>
      <c r="M23" s="58" t="str">
        <f t="shared" si="4"/>
        <v>przerwa1</v>
      </c>
      <c r="N23" s="57">
        <f t="shared" si="18"/>
        <v>1</v>
      </c>
      <c r="O23" s="138"/>
      <c r="P23" s="149"/>
      <c r="Q23" s="138"/>
      <c r="R23" s="8"/>
      <c r="S23" s="60">
        <f t="shared" si="5"/>
        <v>0</v>
      </c>
      <c r="T23" s="60" t="str">
        <f t="shared" si="19"/>
        <v xml:space="preserve"> </v>
      </c>
      <c r="U23" s="60" t="str">
        <f t="shared" si="20"/>
        <v xml:space="preserve"> </v>
      </c>
      <c r="W23">
        <f t="shared" si="21"/>
        <v>480</v>
      </c>
      <c r="X23">
        <f t="shared" si="22"/>
        <v>0</v>
      </c>
      <c r="Y23">
        <f t="shared" si="23"/>
        <v>480</v>
      </c>
      <c r="AD23" s="158">
        <f t="shared" si="25"/>
        <v>8</v>
      </c>
      <c r="AE23" s="158">
        <f t="shared" si="26"/>
        <v>0</v>
      </c>
      <c r="AF23" s="64">
        <f t="shared" si="27"/>
        <v>8</v>
      </c>
      <c r="AG23" s="169">
        <f t="shared" si="28"/>
        <v>16</v>
      </c>
      <c r="AH23" s="169">
        <f t="shared" si="29"/>
        <v>0</v>
      </c>
      <c r="AI23" s="64">
        <f t="shared" si="30"/>
        <v>16</v>
      </c>
      <c r="AJ23" s="169">
        <f t="shared" si="31"/>
        <v>8</v>
      </c>
      <c r="AK23" s="169">
        <f t="shared" si="32"/>
        <v>0</v>
      </c>
      <c r="AL23" s="64">
        <f t="shared" si="33"/>
        <v>8</v>
      </c>
    </row>
    <row r="24" spans="1:38" ht="15.75" x14ac:dyDescent="0.25">
      <c r="A24" s="2">
        <f t="shared" si="24"/>
        <v>46217</v>
      </c>
      <c r="B24" s="2">
        <f t="shared" si="15"/>
        <v>84</v>
      </c>
      <c r="C24" s="54" t="str">
        <f t="shared" si="0"/>
        <v>14.7. wtorek</v>
      </c>
      <c r="D24" s="159"/>
      <c r="E24" s="117" t="str">
        <f t="shared" si="16"/>
        <v xml:space="preserve"> </v>
      </c>
      <c r="F24" s="115">
        <v>8</v>
      </c>
      <c r="G24" s="115">
        <v>16</v>
      </c>
      <c r="H24" s="55">
        <f t="shared" si="1"/>
        <v>8</v>
      </c>
      <c r="I24" s="55">
        <f t="shared" si="2"/>
        <v>0</v>
      </c>
      <c r="J24" s="56">
        <f t="shared" si="3"/>
        <v>0</v>
      </c>
      <c r="K24" s="57">
        <f t="shared" si="34"/>
        <v>1</v>
      </c>
      <c r="L24" s="57">
        <f t="shared" si="17"/>
        <v>0</v>
      </c>
      <c r="M24" s="58" t="str">
        <f t="shared" si="4"/>
        <v>przerwa1</v>
      </c>
      <c r="N24" s="57">
        <f t="shared" si="18"/>
        <v>1</v>
      </c>
      <c r="O24" s="138"/>
      <c r="P24" s="149"/>
      <c r="Q24" s="138"/>
      <c r="R24" s="8"/>
      <c r="S24" s="60">
        <f t="shared" si="5"/>
        <v>0</v>
      </c>
      <c r="T24" s="60" t="str">
        <f t="shared" si="19"/>
        <v xml:space="preserve"> </v>
      </c>
      <c r="U24" s="60" t="str">
        <f t="shared" si="20"/>
        <v xml:space="preserve"> </v>
      </c>
      <c r="W24">
        <f t="shared" si="21"/>
        <v>480</v>
      </c>
      <c r="X24">
        <f t="shared" si="22"/>
        <v>0</v>
      </c>
      <c r="Y24">
        <f t="shared" si="23"/>
        <v>480</v>
      </c>
      <c r="AD24" s="158">
        <f t="shared" si="25"/>
        <v>8</v>
      </c>
      <c r="AE24" s="158">
        <f t="shared" si="26"/>
        <v>0</v>
      </c>
      <c r="AF24" s="64">
        <f t="shared" si="27"/>
        <v>8</v>
      </c>
      <c r="AG24" s="169">
        <f t="shared" si="28"/>
        <v>16</v>
      </c>
      <c r="AH24" s="169">
        <f t="shared" si="29"/>
        <v>0</v>
      </c>
      <c r="AI24" s="64">
        <f t="shared" si="30"/>
        <v>16</v>
      </c>
      <c r="AJ24" s="169">
        <f t="shared" si="31"/>
        <v>8</v>
      </c>
      <c r="AK24" s="169">
        <f t="shared" si="32"/>
        <v>0</v>
      </c>
      <c r="AL24" s="64">
        <f t="shared" si="33"/>
        <v>8</v>
      </c>
    </row>
    <row r="25" spans="1:38" ht="15.75" x14ac:dyDescent="0.25">
      <c r="A25" s="2">
        <f t="shared" si="24"/>
        <v>46218</v>
      </c>
      <c r="B25" s="2">
        <f t="shared" si="15"/>
        <v>84</v>
      </c>
      <c r="C25" s="54" t="str">
        <f t="shared" si="0"/>
        <v>15.7. środa</v>
      </c>
      <c r="D25" s="159"/>
      <c r="E25" s="117" t="str">
        <f t="shared" si="16"/>
        <v xml:space="preserve"> </v>
      </c>
      <c r="F25" s="115">
        <v>8</v>
      </c>
      <c r="G25" s="115">
        <v>16</v>
      </c>
      <c r="H25" s="55">
        <f t="shared" si="1"/>
        <v>8</v>
      </c>
      <c r="I25" s="55">
        <f t="shared" si="2"/>
        <v>0</v>
      </c>
      <c r="J25" s="56">
        <f t="shared" si="3"/>
        <v>0</v>
      </c>
      <c r="K25" s="57">
        <f t="shared" si="34"/>
        <v>1</v>
      </c>
      <c r="L25" s="57">
        <f t="shared" si="17"/>
        <v>0</v>
      </c>
      <c r="M25" s="58" t="str">
        <f t="shared" si="4"/>
        <v>przerwa1</v>
      </c>
      <c r="N25" s="57">
        <f t="shared" si="18"/>
        <v>1</v>
      </c>
      <c r="O25" s="138"/>
      <c r="P25" s="149"/>
      <c r="Q25" s="138"/>
      <c r="R25" s="8"/>
      <c r="S25" s="60">
        <f t="shared" si="5"/>
        <v>0</v>
      </c>
      <c r="T25" s="60" t="str">
        <f t="shared" si="19"/>
        <v xml:space="preserve"> </v>
      </c>
      <c r="U25" s="60" t="str">
        <f t="shared" si="20"/>
        <v xml:space="preserve"> </v>
      </c>
      <c r="W25">
        <f t="shared" si="21"/>
        <v>480</v>
      </c>
      <c r="X25">
        <f t="shared" si="22"/>
        <v>0</v>
      </c>
      <c r="Y25">
        <f t="shared" si="23"/>
        <v>480</v>
      </c>
      <c r="AD25" s="158">
        <f t="shared" si="25"/>
        <v>8</v>
      </c>
      <c r="AE25" s="158">
        <f t="shared" si="26"/>
        <v>0</v>
      </c>
      <c r="AF25" s="64">
        <f t="shared" si="27"/>
        <v>8</v>
      </c>
      <c r="AG25" s="169">
        <f t="shared" si="28"/>
        <v>16</v>
      </c>
      <c r="AH25" s="169">
        <f t="shared" si="29"/>
        <v>0</v>
      </c>
      <c r="AI25" s="64">
        <f t="shared" si="30"/>
        <v>16</v>
      </c>
      <c r="AJ25" s="169">
        <f t="shared" si="31"/>
        <v>8</v>
      </c>
      <c r="AK25" s="169">
        <f t="shared" si="32"/>
        <v>0</v>
      </c>
      <c r="AL25" s="64">
        <f t="shared" si="33"/>
        <v>8</v>
      </c>
    </row>
    <row r="26" spans="1:38" ht="15.75" x14ac:dyDescent="0.25">
      <c r="A26" s="2">
        <f t="shared" si="24"/>
        <v>46219</v>
      </c>
      <c r="B26" s="2">
        <f t="shared" si="15"/>
        <v>84</v>
      </c>
      <c r="C26" s="54" t="str">
        <f t="shared" si="0"/>
        <v>16.7. czwartek</v>
      </c>
      <c r="D26" s="159"/>
      <c r="E26" s="117" t="str">
        <f t="shared" si="16"/>
        <v xml:space="preserve"> </v>
      </c>
      <c r="F26" s="115">
        <v>8</v>
      </c>
      <c r="G26" s="115">
        <v>16</v>
      </c>
      <c r="H26" s="55">
        <f t="shared" si="1"/>
        <v>8</v>
      </c>
      <c r="I26" s="55">
        <f t="shared" si="2"/>
        <v>0</v>
      </c>
      <c r="J26" s="56">
        <f t="shared" si="3"/>
        <v>0</v>
      </c>
      <c r="K26" s="57">
        <f t="shared" si="34"/>
        <v>1</v>
      </c>
      <c r="L26" s="57">
        <f t="shared" si="17"/>
        <v>0</v>
      </c>
      <c r="M26" s="58" t="str">
        <f t="shared" si="4"/>
        <v>przerwa1</v>
      </c>
      <c r="N26" s="57">
        <f t="shared" si="18"/>
        <v>1</v>
      </c>
      <c r="O26" s="138"/>
      <c r="P26" s="149"/>
      <c r="Q26" s="138"/>
      <c r="R26" s="8"/>
      <c r="S26" s="60">
        <f t="shared" si="5"/>
        <v>0</v>
      </c>
      <c r="T26" s="60" t="str">
        <f t="shared" si="19"/>
        <v xml:space="preserve"> </v>
      </c>
      <c r="U26" s="60" t="str">
        <f t="shared" si="20"/>
        <v xml:space="preserve"> </v>
      </c>
      <c r="W26">
        <f t="shared" si="21"/>
        <v>480</v>
      </c>
      <c r="X26">
        <f t="shared" si="22"/>
        <v>0</v>
      </c>
      <c r="Y26">
        <f t="shared" si="23"/>
        <v>480</v>
      </c>
      <c r="AD26" s="158">
        <f t="shared" si="25"/>
        <v>8</v>
      </c>
      <c r="AE26" s="158">
        <f t="shared" si="26"/>
        <v>0</v>
      </c>
      <c r="AF26" s="64">
        <f t="shared" si="27"/>
        <v>8</v>
      </c>
      <c r="AG26" s="169">
        <f t="shared" si="28"/>
        <v>16</v>
      </c>
      <c r="AH26" s="169">
        <f t="shared" si="29"/>
        <v>0</v>
      </c>
      <c r="AI26" s="64">
        <f t="shared" si="30"/>
        <v>16</v>
      </c>
      <c r="AJ26" s="169">
        <f t="shared" si="31"/>
        <v>8</v>
      </c>
      <c r="AK26" s="169">
        <f t="shared" si="32"/>
        <v>0</v>
      </c>
      <c r="AL26" s="64">
        <f t="shared" si="33"/>
        <v>8</v>
      </c>
    </row>
    <row r="27" spans="1:38" ht="15.75" x14ac:dyDescent="0.25">
      <c r="A27" s="2">
        <f t="shared" si="24"/>
        <v>46220</v>
      </c>
      <c r="B27" s="2">
        <f t="shared" si="15"/>
        <v>84</v>
      </c>
      <c r="C27" s="54" t="str">
        <f t="shared" si="0"/>
        <v>17.7. piątek</v>
      </c>
      <c r="D27" s="159"/>
      <c r="E27" s="117" t="str">
        <f t="shared" si="16"/>
        <v xml:space="preserve"> </v>
      </c>
      <c r="F27" s="115">
        <v>8</v>
      </c>
      <c r="G27" s="115">
        <v>16</v>
      </c>
      <c r="H27" s="55">
        <f t="shared" si="1"/>
        <v>8</v>
      </c>
      <c r="I27" s="55">
        <f t="shared" si="2"/>
        <v>0</v>
      </c>
      <c r="J27" s="56">
        <f t="shared" si="3"/>
        <v>0</v>
      </c>
      <c r="K27" s="57">
        <f t="shared" si="34"/>
        <v>1</v>
      </c>
      <c r="L27" s="57">
        <f t="shared" si="17"/>
        <v>0</v>
      </c>
      <c r="M27" s="58" t="str">
        <f t="shared" si="4"/>
        <v>przerwa1</v>
      </c>
      <c r="N27" s="57">
        <f t="shared" si="18"/>
        <v>1</v>
      </c>
      <c r="O27" s="138"/>
      <c r="P27" s="149"/>
      <c r="Q27" s="138"/>
      <c r="R27" s="8"/>
      <c r="S27" s="60">
        <f t="shared" si="5"/>
        <v>0</v>
      </c>
      <c r="T27" s="60" t="str">
        <f t="shared" si="19"/>
        <v xml:space="preserve"> </v>
      </c>
      <c r="U27" s="60" t="str">
        <f t="shared" si="20"/>
        <v xml:space="preserve"> </v>
      </c>
      <c r="W27">
        <f t="shared" si="21"/>
        <v>480</v>
      </c>
      <c r="X27">
        <f t="shared" si="22"/>
        <v>0</v>
      </c>
      <c r="Y27">
        <f t="shared" si="23"/>
        <v>480</v>
      </c>
      <c r="AD27" s="158">
        <f t="shared" si="25"/>
        <v>8</v>
      </c>
      <c r="AE27" s="158">
        <f t="shared" si="26"/>
        <v>0</v>
      </c>
      <c r="AF27" s="64">
        <f t="shared" si="27"/>
        <v>8</v>
      </c>
      <c r="AG27" s="169">
        <f t="shared" si="28"/>
        <v>16</v>
      </c>
      <c r="AH27" s="169">
        <f t="shared" si="29"/>
        <v>0</v>
      </c>
      <c r="AI27" s="64">
        <f t="shared" si="30"/>
        <v>16</v>
      </c>
      <c r="AJ27" s="169">
        <f t="shared" si="31"/>
        <v>8</v>
      </c>
      <c r="AK27" s="169">
        <f t="shared" si="32"/>
        <v>0</v>
      </c>
      <c r="AL27" s="64">
        <f t="shared" si="33"/>
        <v>8</v>
      </c>
    </row>
    <row r="28" spans="1:38" ht="15.75" x14ac:dyDescent="0.25">
      <c r="A28" s="2">
        <f t="shared" si="24"/>
        <v>46221</v>
      </c>
      <c r="B28" s="2">
        <f t="shared" si="15"/>
        <v>84</v>
      </c>
      <c r="C28" s="54" t="str">
        <f t="shared" si="0"/>
        <v>18.7. sobota</v>
      </c>
      <c r="D28" s="159" t="s">
        <v>47</v>
      </c>
      <c r="E28" s="117" t="str">
        <f t="shared" si="16"/>
        <v>wolne</v>
      </c>
      <c r="F28" s="115"/>
      <c r="G28" s="115"/>
      <c r="H28" s="55" t="str">
        <f t="shared" si="1"/>
        <v/>
      </c>
      <c r="I28" s="55" t="str">
        <f t="shared" si="2"/>
        <v/>
      </c>
      <c r="J28" s="56" t="str">
        <f t="shared" si="3"/>
        <v/>
      </c>
      <c r="K28" s="57">
        <f t="shared" si="34"/>
        <v>0</v>
      </c>
      <c r="L28" s="57">
        <f t="shared" si="17"/>
        <v>0</v>
      </c>
      <c r="M28" s="58" t="str">
        <f t="shared" si="4"/>
        <v>przerwa1</v>
      </c>
      <c r="N28" s="57">
        <f t="shared" si="18"/>
        <v>0</v>
      </c>
      <c r="O28" s="138"/>
      <c r="P28" s="149"/>
      <c r="Q28" s="138"/>
      <c r="R28" s="8"/>
      <c r="S28" s="60" t="str">
        <f t="shared" si="5"/>
        <v xml:space="preserve"> </v>
      </c>
      <c r="T28" s="60" t="str">
        <f t="shared" si="19"/>
        <v xml:space="preserve"> </v>
      </c>
      <c r="U28" s="60" t="str">
        <f t="shared" si="20"/>
        <v xml:space="preserve"> </v>
      </c>
      <c r="W28">
        <f t="shared" si="21"/>
        <v>0</v>
      </c>
      <c r="X28">
        <f t="shared" si="22"/>
        <v>0</v>
      </c>
      <c r="Y28">
        <f t="shared" si="23"/>
        <v>0</v>
      </c>
      <c r="AD28" s="158">
        <f t="shared" si="25"/>
        <v>0</v>
      </c>
      <c r="AE28" s="158">
        <f t="shared" si="26"/>
        <v>0</v>
      </c>
      <c r="AF28" s="64" t="str">
        <f t="shared" si="27"/>
        <v xml:space="preserve"> </v>
      </c>
      <c r="AG28" s="169">
        <f t="shared" si="28"/>
        <v>0</v>
      </c>
      <c r="AH28" s="169">
        <f t="shared" si="29"/>
        <v>0</v>
      </c>
      <c r="AI28" s="64" t="str">
        <f t="shared" si="30"/>
        <v xml:space="preserve"> </v>
      </c>
      <c r="AJ28" s="169" t="str">
        <f t="shared" si="31"/>
        <v/>
      </c>
      <c r="AK28" s="169" t="str">
        <f t="shared" si="32"/>
        <v/>
      </c>
      <c r="AL28" s="64" t="str">
        <f t="shared" si="33"/>
        <v xml:space="preserve"> </v>
      </c>
    </row>
    <row r="29" spans="1:38" ht="15.75" x14ac:dyDescent="0.25">
      <c r="A29" s="2">
        <f t="shared" si="24"/>
        <v>46222</v>
      </c>
      <c r="B29" s="2">
        <f t="shared" si="15"/>
        <v>84</v>
      </c>
      <c r="C29" s="54" t="str">
        <f t="shared" si="0"/>
        <v>19.7. niedziela</v>
      </c>
      <c r="D29" s="159" t="s">
        <v>47</v>
      </c>
      <c r="E29" s="117" t="str">
        <f t="shared" si="16"/>
        <v>wolne</v>
      </c>
      <c r="F29" s="115"/>
      <c r="G29" s="115"/>
      <c r="H29" s="55" t="str">
        <f t="shared" si="1"/>
        <v/>
      </c>
      <c r="I29" s="55" t="str">
        <f t="shared" si="2"/>
        <v/>
      </c>
      <c r="J29" s="56" t="str">
        <f t="shared" si="3"/>
        <v/>
      </c>
      <c r="K29" s="57">
        <f t="shared" si="34"/>
        <v>0</v>
      </c>
      <c r="L29" s="57">
        <f t="shared" si="17"/>
        <v>0</v>
      </c>
      <c r="M29" s="58" t="str">
        <f t="shared" si="4"/>
        <v>przerwa1</v>
      </c>
      <c r="N29" s="57">
        <f t="shared" si="18"/>
        <v>0</v>
      </c>
      <c r="O29" s="138"/>
      <c r="P29" s="149"/>
      <c r="Q29" s="138"/>
      <c r="R29" s="8"/>
      <c r="S29" s="60" t="str">
        <f t="shared" si="5"/>
        <v xml:space="preserve"> </v>
      </c>
      <c r="T29" s="60" t="str">
        <f t="shared" si="19"/>
        <v xml:space="preserve"> </v>
      </c>
      <c r="U29" s="60" t="str">
        <f t="shared" si="20"/>
        <v xml:space="preserve"> </v>
      </c>
      <c r="W29">
        <f t="shared" si="21"/>
        <v>0</v>
      </c>
      <c r="X29">
        <f t="shared" si="22"/>
        <v>0</v>
      </c>
      <c r="Y29">
        <f t="shared" si="23"/>
        <v>0</v>
      </c>
      <c r="AD29" s="158">
        <f t="shared" si="25"/>
        <v>0</v>
      </c>
      <c r="AE29" s="158">
        <f t="shared" si="26"/>
        <v>0</v>
      </c>
      <c r="AF29" s="64" t="str">
        <f t="shared" si="27"/>
        <v xml:space="preserve"> </v>
      </c>
      <c r="AG29" s="169">
        <f t="shared" si="28"/>
        <v>0</v>
      </c>
      <c r="AH29" s="169">
        <f t="shared" si="29"/>
        <v>0</v>
      </c>
      <c r="AI29" s="64" t="str">
        <f t="shared" si="30"/>
        <v xml:space="preserve"> </v>
      </c>
      <c r="AJ29" s="169" t="str">
        <f t="shared" si="31"/>
        <v/>
      </c>
      <c r="AK29" s="169" t="str">
        <f t="shared" si="32"/>
        <v/>
      </c>
      <c r="AL29" s="64" t="str">
        <f t="shared" si="33"/>
        <v xml:space="preserve"> </v>
      </c>
    </row>
    <row r="30" spans="1:38" ht="15.75" x14ac:dyDescent="0.25">
      <c r="A30" s="2">
        <f t="shared" si="24"/>
        <v>46223</v>
      </c>
      <c r="B30" s="2">
        <f t="shared" si="15"/>
        <v>84</v>
      </c>
      <c r="C30" s="54" t="str">
        <f t="shared" si="0"/>
        <v>20.7. poniedziałek</v>
      </c>
      <c r="D30" s="159"/>
      <c r="E30" s="117" t="str">
        <f t="shared" si="16"/>
        <v xml:space="preserve"> </v>
      </c>
      <c r="F30" s="115">
        <v>8</v>
      </c>
      <c r="G30" s="115">
        <v>16</v>
      </c>
      <c r="H30" s="55">
        <f t="shared" si="1"/>
        <v>8</v>
      </c>
      <c r="I30" s="55">
        <f t="shared" si="2"/>
        <v>0</v>
      </c>
      <c r="J30" s="56">
        <f t="shared" si="3"/>
        <v>0</v>
      </c>
      <c r="K30" s="57">
        <f t="shared" si="34"/>
        <v>1</v>
      </c>
      <c r="L30" s="57">
        <f t="shared" si="17"/>
        <v>0</v>
      </c>
      <c r="M30" s="58" t="str">
        <f t="shared" si="4"/>
        <v>przerwa1</v>
      </c>
      <c r="N30" s="57">
        <f t="shared" si="18"/>
        <v>1</v>
      </c>
      <c r="O30" s="138"/>
      <c r="P30" s="149"/>
      <c r="Q30" s="138"/>
      <c r="R30" s="8"/>
      <c r="S30" s="60">
        <f t="shared" si="5"/>
        <v>0</v>
      </c>
      <c r="T30" s="60" t="str">
        <f t="shared" si="19"/>
        <v xml:space="preserve"> </v>
      </c>
      <c r="U30" s="60" t="str">
        <f t="shared" si="20"/>
        <v xml:space="preserve"> </v>
      </c>
      <c r="W30">
        <f t="shared" si="21"/>
        <v>480</v>
      </c>
      <c r="X30">
        <f t="shared" si="22"/>
        <v>0</v>
      </c>
      <c r="Y30">
        <f t="shared" si="23"/>
        <v>480</v>
      </c>
      <c r="AD30" s="158">
        <f t="shared" si="25"/>
        <v>8</v>
      </c>
      <c r="AE30" s="158">
        <f t="shared" si="26"/>
        <v>0</v>
      </c>
      <c r="AF30" s="64">
        <f t="shared" si="27"/>
        <v>8</v>
      </c>
      <c r="AG30" s="169">
        <f t="shared" si="28"/>
        <v>16</v>
      </c>
      <c r="AH30" s="169">
        <f t="shared" si="29"/>
        <v>0</v>
      </c>
      <c r="AI30" s="64">
        <f t="shared" si="30"/>
        <v>16</v>
      </c>
      <c r="AJ30" s="169">
        <f t="shared" si="31"/>
        <v>8</v>
      </c>
      <c r="AK30" s="169">
        <f t="shared" si="32"/>
        <v>0</v>
      </c>
      <c r="AL30" s="64">
        <f t="shared" si="33"/>
        <v>8</v>
      </c>
    </row>
    <row r="31" spans="1:38" ht="15.75" x14ac:dyDescent="0.25">
      <c r="A31" s="2">
        <f t="shared" si="24"/>
        <v>46224</v>
      </c>
      <c r="B31" s="2">
        <f t="shared" si="15"/>
        <v>84</v>
      </c>
      <c r="C31" s="54" t="str">
        <f t="shared" si="0"/>
        <v>21.7. wtorek</v>
      </c>
      <c r="D31" s="159"/>
      <c r="E31" s="117" t="str">
        <f t="shared" si="16"/>
        <v xml:space="preserve"> </v>
      </c>
      <c r="F31" s="115">
        <v>8</v>
      </c>
      <c r="G31" s="115">
        <v>16</v>
      </c>
      <c r="H31" s="55">
        <f t="shared" si="1"/>
        <v>8</v>
      </c>
      <c r="I31" s="55">
        <f t="shared" si="2"/>
        <v>0</v>
      </c>
      <c r="J31" s="56">
        <f t="shared" si="3"/>
        <v>0</v>
      </c>
      <c r="K31" s="57">
        <f t="shared" si="34"/>
        <v>1</v>
      </c>
      <c r="L31" s="57">
        <f t="shared" si="17"/>
        <v>0</v>
      </c>
      <c r="M31" s="58" t="str">
        <f t="shared" si="4"/>
        <v>przerwa1</v>
      </c>
      <c r="N31" s="57">
        <f t="shared" si="18"/>
        <v>1</v>
      </c>
      <c r="O31" s="138"/>
      <c r="P31" s="149"/>
      <c r="Q31" s="138"/>
      <c r="R31" s="8"/>
      <c r="S31" s="60">
        <f t="shared" si="5"/>
        <v>0</v>
      </c>
      <c r="T31" s="60" t="str">
        <f t="shared" si="19"/>
        <v xml:space="preserve"> </v>
      </c>
      <c r="U31" s="60" t="str">
        <f t="shared" si="20"/>
        <v xml:space="preserve"> </v>
      </c>
      <c r="W31">
        <f t="shared" si="21"/>
        <v>480</v>
      </c>
      <c r="X31">
        <f t="shared" si="22"/>
        <v>0</v>
      </c>
      <c r="Y31">
        <f t="shared" si="23"/>
        <v>480</v>
      </c>
      <c r="AD31" s="158">
        <f t="shared" si="25"/>
        <v>8</v>
      </c>
      <c r="AE31" s="158">
        <f t="shared" si="26"/>
        <v>0</v>
      </c>
      <c r="AF31" s="64">
        <f t="shared" si="27"/>
        <v>8</v>
      </c>
      <c r="AG31" s="169">
        <f t="shared" si="28"/>
        <v>16</v>
      </c>
      <c r="AH31" s="169">
        <f t="shared" si="29"/>
        <v>0</v>
      </c>
      <c r="AI31" s="64">
        <f t="shared" si="30"/>
        <v>16</v>
      </c>
      <c r="AJ31" s="169">
        <f t="shared" si="31"/>
        <v>8</v>
      </c>
      <c r="AK31" s="169">
        <f t="shared" si="32"/>
        <v>0</v>
      </c>
      <c r="AL31" s="64">
        <f t="shared" si="33"/>
        <v>8</v>
      </c>
    </row>
    <row r="32" spans="1:38" ht="15.75" x14ac:dyDescent="0.25">
      <c r="A32" s="2">
        <f t="shared" si="24"/>
        <v>46225</v>
      </c>
      <c r="B32" s="2">
        <f t="shared" si="15"/>
        <v>84</v>
      </c>
      <c r="C32" s="54" t="str">
        <f t="shared" si="0"/>
        <v>22.7. środa</v>
      </c>
      <c r="D32" s="159"/>
      <c r="E32" s="117" t="str">
        <f t="shared" si="16"/>
        <v xml:space="preserve"> </v>
      </c>
      <c r="F32" s="115">
        <v>8</v>
      </c>
      <c r="G32" s="115">
        <v>16</v>
      </c>
      <c r="H32" s="55">
        <f t="shared" si="1"/>
        <v>8</v>
      </c>
      <c r="I32" s="55">
        <f t="shared" si="2"/>
        <v>0</v>
      </c>
      <c r="J32" s="56">
        <f t="shared" si="3"/>
        <v>0</v>
      </c>
      <c r="K32" s="57">
        <f t="shared" si="34"/>
        <v>1</v>
      </c>
      <c r="L32" s="57">
        <f t="shared" si="17"/>
        <v>0</v>
      </c>
      <c r="M32" s="58" t="str">
        <f t="shared" si="4"/>
        <v>przerwa1</v>
      </c>
      <c r="N32" s="57">
        <f t="shared" si="18"/>
        <v>1</v>
      </c>
      <c r="O32" s="138"/>
      <c r="P32" s="149"/>
      <c r="Q32" s="138"/>
      <c r="R32" s="8"/>
      <c r="S32" s="60">
        <f t="shared" si="5"/>
        <v>0</v>
      </c>
      <c r="T32" s="60" t="str">
        <f t="shared" si="19"/>
        <v xml:space="preserve"> </v>
      </c>
      <c r="U32" s="60" t="str">
        <f t="shared" si="20"/>
        <v xml:space="preserve"> </v>
      </c>
      <c r="W32">
        <f t="shared" si="21"/>
        <v>480</v>
      </c>
      <c r="X32">
        <f t="shared" si="22"/>
        <v>0</v>
      </c>
      <c r="Y32">
        <f t="shared" si="23"/>
        <v>480</v>
      </c>
      <c r="AD32" s="158">
        <f t="shared" si="25"/>
        <v>8</v>
      </c>
      <c r="AE32" s="158">
        <f t="shared" si="26"/>
        <v>0</v>
      </c>
      <c r="AF32" s="64">
        <f t="shared" si="27"/>
        <v>8</v>
      </c>
      <c r="AG32" s="169">
        <f t="shared" si="28"/>
        <v>16</v>
      </c>
      <c r="AH32" s="169">
        <f t="shared" si="29"/>
        <v>0</v>
      </c>
      <c r="AI32" s="64">
        <f t="shared" si="30"/>
        <v>16</v>
      </c>
      <c r="AJ32" s="169">
        <f t="shared" si="31"/>
        <v>8</v>
      </c>
      <c r="AK32" s="169">
        <f t="shared" si="32"/>
        <v>0</v>
      </c>
      <c r="AL32" s="64">
        <f t="shared" si="33"/>
        <v>8</v>
      </c>
    </row>
    <row r="33" spans="1:38" ht="15.75" x14ac:dyDescent="0.25">
      <c r="A33" s="2">
        <f t="shared" si="24"/>
        <v>46226</v>
      </c>
      <c r="B33" s="2">
        <f t="shared" si="15"/>
        <v>84</v>
      </c>
      <c r="C33" s="54" t="str">
        <f t="shared" si="0"/>
        <v>23.7. czwartek</v>
      </c>
      <c r="D33" s="159"/>
      <c r="E33" s="117" t="str">
        <f t="shared" si="16"/>
        <v xml:space="preserve"> </v>
      </c>
      <c r="F33" s="115">
        <v>8</v>
      </c>
      <c r="G33" s="115">
        <v>16</v>
      </c>
      <c r="H33" s="55">
        <f t="shared" ref="H33:H36" si="35">IF(D33="d",(((((TRUNC(G33)-1)-TRUNC(F33))*60)+((G33-TRUNC(G33))*100)+(60-(F33-TRUNC(F33))*100))-(IF(M33&lt;przerwa1,pause,przerwa1)))/60,IF((OR((B33=83),(D33="u"),(D33="uz"),(D33="a"),(D33="c"),(D33="s"),(AND(D33="w",F33="")),(D33="oc"),(D33="um"),(D33="op"),(D33="oc"))),"",IF(OR(D33="g",AND(D33="gp",F33="")),0,TRUNC((((TRUNC(G33)*60+(G33-(TRUNC(G33)))*100)-(TRUNC(F33)*60+(F33-TRUNC(F33))*100))-(IF(M33&lt;przerwa1,pause,przerwa1)))/60)+(((((TRUNC(G33)*60+(G33-(TRUNC(G33)))*100)-(TRUNC(F33)*60+(F33-TRUNC(F33))*100))-(IF(M33&lt;przerwa1,pause,przerwa1)))/60)-TRUNC(((((TRUNC(G33)*60+(G33-(TRUNC(G33)))*100)-(TRUNC(F33)*60+(F33-TRUNC(F33))*100))-(IF(M33&lt;przerwa1,pause,przerwa1)))/60)))*60/100)))</f>
        <v>8</v>
      </c>
      <c r="I33" s="55">
        <f t="shared" ref="I33:I36" si="36">IF(AND(D33="gp",F33=""),-(TRUNC(godz/1.5)+((godz/1.5)-TRUNC(godz/1.5))*60/100),IF(AND(D33="gp",F33&lt;&gt;"",G33&lt;&gt;""),ROUND(TRUNC((TRUNC(ROUND((TRUNC(H33-godz)+(((TRUNC(H33)*60)+(H33-TRUNC(H33))*100)-(godz*60)-(TRUNC(H33-godz)*60))/100),2))+((ROUND((TRUNC(H33-godz)+(((TRUNC(H33)*60)+(H33-TRUNC(H33))*100)-(godz*60)-(TRUNC(H33-godz)*60))/100),2)-TRUNC(ROUND((TRUNC(H33-godz)+(((TRUNC(H33)*60)+(H33-TRUNC(H33))*100)-(godz*60)-(TRUNC(H33-godz)*60))/100),2)))*100/60))/1.5)+(((TRUNC(ROUND((TRUNC(H33-godz)+(((TRUNC(H33)*60)+(H33-TRUNC(H33))*100)-(godz*60)-(TRUNC(H33-godz)*60))/100),2))+((ROUND((TRUNC(H33-godz)+(((TRUNC(H33)*60)+(H33-TRUNC(H33))*100)-(godz*60)-(TRUNC(H33-godz)*60))/100),2)-TRUNC(ROUND((TRUNC(H33-godz)+(((TRUNC(H33)*60)+(H33-TRUNC(H33))*100)-(godz*60)-(TRUNC(H33-godz)*60))/100),2)))*100/60))/1.5)-TRUNC((TRUNC(ROUND((TRUNC(H33-godz)+(((TRUNC(H33)*60)+(H33-TRUNC(H33))*100)-(godz*60)-(TRUNC(H33-godz)*60))/100),2))+((ROUND((TRUNC(H33-godz)+(((TRUNC(H33)*60)+(H33-TRUNC(H33))*100)-(godz*60)-(TRUNC(H33-godz)*60))/100),2)-TRUNC(ROUND((TRUNC(H33-godz)+(((TRUNC(H33)*60)+(H33-TRUNC(H33))*100)-(godz*60)-(TRUNC(H33-godz)*60))/100),2)))*100/60))/1.5))*60/100,2),IF(OR((B33=83),(D33="w"),(D33="s"),(D33="c"),(D33="a"),(D33="oc"),(D33="um"),(D33="op"),(D33="uz"),(D33="u")),"",ROUND((TRUNC(H33-godz)+(((TRUNC(H33)*60)+(H33-TRUNC(H33))*100)-(godz*60)-(TRUNC(H33-godz)*60))/100),2))))</f>
        <v>0</v>
      </c>
      <c r="J33" s="56">
        <f t="shared" ref="J33:J36" si="37">IF(D33="gp",(TRUNC(I33)*60+(I33-TRUNC(I33))*100),IF(OR((I33=""),(B33=83)),"",IF((I33=0),0,TRUNC(H33-godz)*60+(((TRUNC(H33)*60)+(H33-TRUNC(H33))*100)-(godz*60)-(TRUNC(H33-godz)*60)))))</f>
        <v>0</v>
      </c>
      <c r="K33" s="57">
        <f t="shared" ref="K33:K36" si="38">IF(OR((B33=83),(D33="w")),0,1)</f>
        <v>1</v>
      </c>
      <c r="L33" s="57">
        <f t="shared" ref="L33:L36" si="39">IF(OR((D33="c"),(D33="u"),(D33="uz"),(D33="um"),(D33="op"),(D33="oc"),(D33="s")),1,0)</f>
        <v>0</v>
      </c>
      <c r="M33" s="58" t="str">
        <f t="shared" ref="M33:M36" si="40">IF(((((((TRUNC(G33)-1)-TRUNC(F33))*60)+((G33-TRUNC(G33))*100)+(60-(F33-TRUNC(F33))*100)))/100)&lt;pause2,"przerwa1","pause")</f>
        <v>przerwa1</v>
      </c>
      <c r="N33" s="57">
        <f t="shared" ref="N33:N36" si="41">IF(OR((B33=83),(D33="w"),(D33="g"),(D33="c"),(D33="u"),(D33="uz"),(D33="op"),(D33="oc")),0,1)</f>
        <v>1</v>
      </c>
      <c r="O33" s="138"/>
      <c r="P33" s="149"/>
      <c r="Q33" s="138"/>
      <c r="R33" s="8"/>
      <c r="S33" s="60">
        <f t="shared" si="5"/>
        <v>0</v>
      </c>
      <c r="T33" s="60" t="str">
        <f t="shared" si="19"/>
        <v xml:space="preserve"> </v>
      </c>
      <c r="U33" s="60" t="str">
        <f t="shared" si="20"/>
        <v xml:space="preserve"> </v>
      </c>
      <c r="W33">
        <f t="shared" si="21"/>
        <v>480</v>
      </c>
      <c r="X33">
        <f t="shared" si="22"/>
        <v>0</v>
      </c>
      <c r="Y33">
        <f t="shared" si="23"/>
        <v>480</v>
      </c>
      <c r="AD33" s="158">
        <f t="shared" si="25"/>
        <v>8</v>
      </c>
      <c r="AE33" s="158">
        <f t="shared" si="26"/>
        <v>0</v>
      </c>
      <c r="AF33" s="64">
        <f t="shared" si="27"/>
        <v>8</v>
      </c>
      <c r="AG33" s="169">
        <f t="shared" si="28"/>
        <v>16</v>
      </c>
      <c r="AH33" s="169">
        <f t="shared" si="29"/>
        <v>0</v>
      </c>
      <c r="AI33" s="64">
        <f t="shared" si="30"/>
        <v>16</v>
      </c>
      <c r="AJ33" s="169">
        <f t="shared" si="31"/>
        <v>8</v>
      </c>
      <c r="AK33" s="169">
        <f t="shared" si="32"/>
        <v>0</v>
      </c>
      <c r="AL33" s="64">
        <f t="shared" si="33"/>
        <v>8</v>
      </c>
    </row>
    <row r="34" spans="1:38" ht="15.75" x14ac:dyDescent="0.25">
      <c r="A34" s="2">
        <f t="shared" si="24"/>
        <v>46227</v>
      </c>
      <c r="B34" s="2">
        <f t="shared" si="15"/>
        <v>84</v>
      </c>
      <c r="C34" s="54" t="str">
        <f t="shared" si="0"/>
        <v>24.7. piątek</v>
      </c>
      <c r="D34" s="159"/>
      <c r="E34" s="117" t="str">
        <f t="shared" si="16"/>
        <v xml:space="preserve"> </v>
      </c>
      <c r="F34" s="115">
        <v>8</v>
      </c>
      <c r="G34" s="115">
        <v>16</v>
      </c>
      <c r="H34" s="55">
        <f t="shared" si="35"/>
        <v>8</v>
      </c>
      <c r="I34" s="55">
        <f t="shared" si="36"/>
        <v>0</v>
      </c>
      <c r="J34" s="56">
        <f t="shared" si="37"/>
        <v>0</v>
      </c>
      <c r="K34" s="57">
        <f t="shared" si="38"/>
        <v>1</v>
      </c>
      <c r="L34" s="57">
        <f t="shared" si="39"/>
        <v>0</v>
      </c>
      <c r="M34" s="58" t="str">
        <f t="shared" si="40"/>
        <v>przerwa1</v>
      </c>
      <c r="N34" s="57">
        <f t="shared" si="41"/>
        <v>1</v>
      </c>
      <c r="O34" s="138"/>
      <c r="P34" s="149"/>
      <c r="Q34" s="138"/>
      <c r="R34" s="8"/>
      <c r="S34" s="60">
        <f t="shared" si="5"/>
        <v>0</v>
      </c>
      <c r="T34" s="60" t="str">
        <f t="shared" si="19"/>
        <v xml:space="preserve"> </v>
      </c>
      <c r="U34" s="60" t="str">
        <f t="shared" si="20"/>
        <v xml:space="preserve"> </v>
      </c>
      <c r="W34">
        <f t="shared" si="21"/>
        <v>480</v>
      </c>
      <c r="X34">
        <f t="shared" si="22"/>
        <v>0</v>
      </c>
      <c r="Y34">
        <f t="shared" si="23"/>
        <v>480</v>
      </c>
      <c r="AD34" s="158">
        <f t="shared" si="25"/>
        <v>8</v>
      </c>
      <c r="AE34" s="158">
        <f t="shared" si="26"/>
        <v>0</v>
      </c>
      <c r="AF34" s="64">
        <f t="shared" si="27"/>
        <v>8</v>
      </c>
      <c r="AG34" s="169">
        <f t="shared" si="28"/>
        <v>16</v>
      </c>
      <c r="AH34" s="169">
        <f t="shared" si="29"/>
        <v>0</v>
      </c>
      <c r="AI34" s="64">
        <f t="shared" si="30"/>
        <v>16</v>
      </c>
      <c r="AJ34" s="169">
        <f t="shared" si="31"/>
        <v>8</v>
      </c>
      <c r="AK34" s="169">
        <f t="shared" si="32"/>
        <v>0</v>
      </c>
      <c r="AL34" s="64">
        <f t="shared" si="33"/>
        <v>8</v>
      </c>
    </row>
    <row r="35" spans="1:38" ht="15.75" x14ac:dyDescent="0.25">
      <c r="A35" s="2">
        <f t="shared" si="24"/>
        <v>46228</v>
      </c>
      <c r="B35" s="2">
        <f t="shared" si="15"/>
        <v>84</v>
      </c>
      <c r="C35" s="54" t="str">
        <f t="shared" si="0"/>
        <v>25.7. sobota</v>
      </c>
      <c r="D35" s="159" t="s">
        <v>47</v>
      </c>
      <c r="E35" s="117" t="str">
        <f t="shared" si="16"/>
        <v>wolne</v>
      </c>
      <c r="F35" s="115"/>
      <c r="G35" s="115"/>
      <c r="H35" s="55" t="str">
        <f t="shared" si="35"/>
        <v/>
      </c>
      <c r="I35" s="55" t="str">
        <f t="shared" si="36"/>
        <v/>
      </c>
      <c r="J35" s="56" t="str">
        <f t="shared" si="37"/>
        <v/>
      </c>
      <c r="K35" s="57">
        <f t="shared" si="38"/>
        <v>0</v>
      </c>
      <c r="L35" s="57">
        <f t="shared" si="39"/>
        <v>0</v>
      </c>
      <c r="M35" s="58" t="str">
        <f t="shared" si="40"/>
        <v>przerwa1</v>
      </c>
      <c r="N35" s="57">
        <f t="shared" si="41"/>
        <v>0</v>
      </c>
      <c r="O35" s="138"/>
      <c r="P35" s="149"/>
      <c r="Q35" s="138"/>
      <c r="R35" s="8"/>
      <c r="S35" s="60" t="str">
        <f t="shared" si="5"/>
        <v xml:space="preserve"> </v>
      </c>
      <c r="T35" s="60" t="str">
        <f t="shared" si="19"/>
        <v xml:space="preserve"> </v>
      </c>
      <c r="U35" s="60" t="str">
        <f t="shared" si="20"/>
        <v xml:space="preserve"> </v>
      </c>
      <c r="W35">
        <f t="shared" si="21"/>
        <v>0</v>
      </c>
      <c r="X35">
        <f t="shared" si="22"/>
        <v>0</v>
      </c>
      <c r="Y35">
        <f t="shared" si="23"/>
        <v>0</v>
      </c>
      <c r="AD35" s="158">
        <f t="shared" si="25"/>
        <v>0</v>
      </c>
      <c r="AE35" s="158">
        <f t="shared" si="26"/>
        <v>0</v>
      </c>
      <c r="AF35" s="64" t="str">
        <f t="shared" si="27"/>
        <v xml:space="preserve"> </v>
      </c>
      <c r="AG35" s="169">
        <f t="shared" si="28"/>
        <v>0</v>
      </c>
      <c r="AH35" s="169">
        <f t="shared" si="29"/>
        <v>0</v>
      </c>
      <c r="AI35" s="64" t="str">
        <f t="shared" si="30"/>
        <v xml:space="preserve"> </v>
      </c>
      <c r="AJ35" s="169" t="str">
        <f t="shared" si="31"/>
        <v/>
      </c>
      <c r="AK35" s="169" t="str">
        <f t="shared" si="32"/>
        <v/>
      </c>
      <c r="AL35" s="64" t="str">
        <f t="shared" si="33"/>
        <v xml:space="preserve"> </v>
      </c>
    </row>
    <row r="36" spans="1:38" ht="15.75" x14ac:dyDescent="0.25">
      <c r="A36" s="2">
        <f t="shared" si="24"/>
        <v>46229</v>
      </c>
      <c r="B36" s="2">
        <f t="shared" si="15"/>
        <v>84</v>
      </c>
      <c r="C36" s="54" t="str">
        <f t="shared" si="0"/>
        <v>26.7. niedziela</v>
      </c>
      <c r="D36" s="159" t="s">
        <v>47</v>
      </c>
      <c r="E36" s="117" t="str">
        <f t="shared" si="16"/>
        <v>wolne</v>
      </c>
      <c r="F36" s="115"/>
      <c r="G36" s="115"/>
      <c r="H36" s="55" t="str">
        <f t="shared" si="35"/>
        <v/>
      </c>
      <c r="I36" s="55" t="str">
        <f t="shared" si="36"/>
        <v/>
      </c>
      <c r="J36" s="56" t="str">
        <f t="shared" si="37"/>
        <v/>
      </c>
      <c r="K36" s="57">
        <f t="shared" si="38"/>
        <v>0</v>
      </c>
      <c r="L36" s="57">
        <f t="shared" si="39"/>
        <v>0</v>
      </c>
      <c r="M36" s="58" t="str">
        <f t="shared" si="40"/>
        <v>przerwa1</v>
      </c>
      <c r="N36" s="57">
        <f t="shared" si="41"/>
        <v>0</v>
      </c>
      <c r="O36" s="138"/>
      <c r="P36" s="149"/>
      <c r="Q36" s="138"/>
      <c r="R36" s="8"/>
      <c r="S36" s="60" t="str">
        <f t="shared" si="5"/>
        <v xml:space="preserve"> </v>
      </c>
      <c r="T36" s="60" t="str">
        <f t="shared" si="19"/>
        <v xml:space="preserve"> </v>
      </c>
      <c r="U36" s="60" t="str">
        <f t="shared" si="20"/>
        <v xml:space="preserve"> </v>
      </c>
      <c r="W36">
        <f t="shared" si="21"/>
        <v>0</v>
      </c>
      <c r="X36">
        <f t="shared" si="22"/>
        <v>0</v>
      </c>
      <c r="Y36">
        <f t="shared" si="23"/>
        <v>0</v>
      </c>
      <c r="AD36" s="158">
        <f t="shared" si="25"/>
        <v>0</v>
      </c>
      <c r="AE36" s="158">
        <f t="shared" si="26"/>
        <v>0</v>
      </c>
      <c r="AF36" s="64" t="str">
        <f t="shared" si="27"/>
        <v xml:space="preserve"> </v>
      </c>
      <c r="AG36" s="169">
        <f t="shared" si="28"/>
        <v>0</v>
      </c>
      <c r="AH36" s="169">
        <f t="shared" si="29"/>
        <v>0</v>
      </c>
      <c r="AI36" s="64" t="str">
        <f t="shared" si="30"/>
        <v xml:space="preserve"> </v>
      </c>
      <c r="AJ36" s="169" t="str">
        <f t="shared" si="31"/>
        <v/>
      </c>
      <c r="AK36" s="169" t="str">
        <f t="shared" si="32"/>
        <v/>
      </c>
      <c r="AL36" s="64" t="str">
        <f t="shared" si="33"/>
        <v xml:space="preserve"> </v>
      </c>
    </row>
    <row r="37" spans="1:38" ht="15.75" x14ac:dyDescent="0.25">
      <c r="A37" s="2">
        <f t="shared" si="24"/>
        <v>46230</v>
      </c>
      <c r="B37" s="2">
        <f t="shared" si="15"/>
        <v>84</v>
      </c>
      <c r="C37" s="54" t="str">
        <f t="shared" si="0"/>
        <v>27.7. poniedziałek</v>
      </c>
      <c r="D37" s="159"/>
      <c r="E37" s="117" t="str">
        <f t="shared" si="16"/>
        <v xml:space="preserve"> </v>
      </c>
      <c r="F37" s="115">
        <v>8</v>
      </c>
      <c r="G37" s="115">
        <v>16</v>
      </c>
      <c r="H37" s="55">
        <f t="shared" si="1"/>
        <v>8</v>
      </c>
      <c r="I37" s="55">
        <f t="shared" si="2"/>
        <v>0</v>
      </c>
      <c r="J37" s="56">
        <f t="shared" si="3"/>
        <v>0</v>
      </c>
      <c r="K37" s="57">
        <f t="shared" si="34"/>
        <v>1</v>
      </c>
      <c r="L37" s="57">
        <f t="shared" si="17"/>
        <v>0</v>
      </c>
      <c r="M37" s="58" t="str">
        <f t="shared" si="4"/>
        <v>przerwa1</v>
      </c>
      <c r="N37" s="57">
        <f t="shared" si="18"/>
        <v>1</v>
      </c>
      <c r="O37" s="138"/>
      <c r="P37" s="149"/>
      <c r="Q37" s="138"/>
      <c r="R37" s="8"/>
      <c r="S37" s="60">
        <f t="shared" si="5"/>
        <v>0</v>
      </c>
      <c r="T37" s="60" t="str">
        <f t="shared" si="19"/>
        <v xml:space="preserve"> </v>
      </c>
      <c r="U37" s="60" t="str">
        <f t="shared" si="20"/>
        <v xml:space="preserve"> </v>
      </c>
      <c r="W37">
        <f t="shared" si="21"/>
        <v>480</v>
      </c>
      <c r="X37">
        <f t="shared" si="22"/>
        <v>0</v>
      </c>
      <c r="Y37">
        <f t="shared" si="23"/>
        <v>480</v>
      </c>
      <c r="AD37" s="158">
        <f t="shared" si="25"/>
        <v>8</v>
      </c>
      <c r="AE37" s="158">
        <f t="shared" si="26"/>
        <v>0</v>
      </c>
      <c r="AF37" s="64">
        <f t="shared" si="27"/>
        <v>8</v>
      </c>
      <c r="AG37" s="169">
        <f t="shared" si="28"/>
        <v>16</v>
      </c>
      <c r="AH37" s="169">
        <f t="shared" si="29"/>
        <v>0</v>
      </c>
      <c r="AI37" s="64">
        <f t="shared" si="30"/>
        <v>16</v>
      </c>
      <c r="AJ37" s="169">
        <f t="shared" si="31"/>
        <v>8</v>
      </c>
      <c r="AK37" s="169">
        <f t="shared" si="32"/>
        <v>0</v>
      </c>
      <c r="AL37" s="64">
        <f t="shared" si="33"/>
        <v>8</v>
      </c>
    </row>
    <row r="38" spans="1:38" ht="15.75" x14ac:dyDescent="0.25">
      <c r="A38" s="2">
        <f t="shared" si="24"/>
        <v>46231</v>
      </c>
      <c r="B38" s="2">
        <f t="shared" si="15"/>
        <v>84</v>
      </c>
      <c r="C38" s="54" t="str">
        <f t="shared" si="0"/>
        <v>28.7. wtorek</v>
      </c>
      <c r="D38" s="159"/>
      <c r="E38" s="117" t="str">
        <f t="shared" si="16"/>
        <v xml:space="preserve"> </v>
      </c>
      <c r="F38" s="115">
        <v>8</v>
      </c>
      <c r="G38" s="115">
        <v>16</v>
      </c>
      <c r="H38" s="55">
        <f t="shared" si="1"/>
        <v>8</v>
      </c>
      <c r="I38" s="55">
        <f t="shared" si="2"/>
        <v>0</v>
      </c>
      <c r="J38" s="56">
        <f t="shared" si="3"/>
        <v>0</v>
      </c>
      <c r="K38" s="57">
        <f t="shared" si="34"/>
        <v>1</v>
      </c>
      <c r="L38" s="57">
        <f t="shared" si="17"/>
        <v>0</v>
      </c>
      <c r="M38" s="58" t="str">
        <f t="shared" si="4"/>
        <v>przerwa1</v>
      </c>
      <c r="N38" s="57">
        <f t="shared" si="18"/>
        <v>1</v>
      </c>
      <c r="O38" s="138"/>
      <c r="P38" s="149"/>
      <c r="Q38" s="138"/>
      <c r="R38" s="8"/>
      <c r="S38" s="60">
        <f t="shared" si="5"/>
        <v>0</v>
      </c>
      <c r="T38" s="60" t="str">
        <f t="shared" si="19"/>
        <v xml:space="preserve"> </v>
      </c>
      <c r="U38" s="60" t="str">
        <f t="shared" si="20"/>
        <v xml:space="preserve"> </v>
      </c>
      <c r="W38">
        <f t="shared" si="21"/>
        <v>480</v>
      </c>
      <c r="X38">
        <f t="shared" si="22"/>
        <v>0</v>
      </c>
      <c r="Y38">
        <f t="shared" si="23"/>
        <v>480</v>
      </c>
      <c r="AD38" s="158">
        <f t="shared" si="25"/>
        <v>8</v>
      </c>
      <c r="AE38" s="158">
        <f t="shared" si="26"/>
        <v>0</v>
      </c>
      <c r="AF38" s="64">
        <f t="shared" si="27"/>
        <v>8</v>
      </c>
      <c r="AG38" s="169">
        <f t="shared" si="28"/>
        <v>16</v>
      </c>
      <c r="AH38" s="169">
        <f t="shared" si="29"/>
        <v>0</v>
      </c>
      <c r="AI38" s="64">
        <f t="shared" si="30"/>
        <v>16</v>
      </c>
      <c r="AJ38" s="169">
        <f t="shared" si="31"/>
        <v>8</v>
      </c>
      <c r="AK38" s="169">
        <f t="shared" si="32"/>
        <v>0</v>
      </c>
      <c r="AL38" s="64">
        <f t="shared" si="33"/>
        <v>8</v>
      </c>
    </row>
    <row r="39" spans="1:38" ht="15.75" x14ac:dyDescent="0.25">
      <c r="A39" s="2">
        <f t="shared" si="24"/>
        <v>46232</v>
      </c>
      <c r="B39" s="2">
        <f t="shared" si="15"/>
        <v>84</v>
      </c>
      <c r="C39" s="54" t="str">
        <f t="shared" si="0"/>
        <v>29.7. środa</v>
      </c>
      <c r="D39" s="159"/>
      <c r="E39" s="117" t="str">
        <f t="shared" si="16"/>
        <v xml:space="preserve"> </v>
      </c>
      <c r="F39" s="115">
        <v>8</v>
      </c>
      <c r="G39" s="115">
        <v>16</v>
      </c>
      <c r="H39" s="55">
        <f t="shared" si="1"/>
        <v>8</v>
      </c>
      <c r="I39" s="55">
        <f t="shared" si="2"/>
        <v>0</v>
      </c>
      <c r="J39" s="56">
        <f t="shared" si="3"/>
        <v>0</v>
      </c>
      <c r="K39" s="57">
        <f t="shared" si="34"/>
        <v>1</v>
      </c>
      <c r="L39" s="57">
        <f t="shared" si="17"/>
        <v>0</v>
      </c>
      <c r="M39" s="58" t="str">
        <f t="shared" si="4"/>
        <v>przerwa1</v>
      </c>
      <c r="N39" s="57">
        <f t="shared" si="18"/>
        <v>1</v>
      </c>
      <c r="O39" s="138"/>
      <c r="P39" s="149"/>
      <c r="Q39" s="138"/>
      <c r="R39" s="8"/>
      <c r="S39" s="60">
        <f t="shared" si="5"/>
        <v>0</v>
      </c>
      <c r="T39" s="60" t="str">
        <f t="shared" si="19"/>
        <v xml:space="preserve"> </v>
      </c>
      <c r="U39" s="60" t="str">
        <f t="shared" si="20"/>
        <v xml:space="preserve"> </v>
      </c>
      <c r="W39">
        <f t="shared" si="21"/>
        <v>480</v>
      </c>
      <c r="X39">
        <f t="shared" si="22"/>
        <v>0</v>
      </c>
      <c r="Y39">
        <f t="shared" si="23"/>
        <v>480</v>
      </c>
      <c r="AD39" s="158">
        <f t="shared" si="25"/>
        <v>8</v>
      </c>
      <c r="AE39" s="158">
        <f t="shared" si="26"/>
        <v>0</v>
      </c>
      <c r="AF39" s="64">
        <f t="shared" si="27"/>
        <v>8</v>
      </c>
      <c r="AG39" s="169">
        <f t="shared" si="28"/>
        <v>16</v>
      </c>
      <c r="AH39" s="169">
        <f t="shared" si="29"/>
        <v>0</v>
      </c>
      <c r="AI39" s="64">
        <f t="shared" si="30"/>
        <v>16</v>
      </c>
      <c r="AJ39" s="169">
        <f t="shared" si="31"/>
        <v>8</v>
      </c>
      <c r="AK39" s="169">
        <f t="shared" si="32"/>
        <v>0</v>
      </c>
      <c r="AL39" s="64">
        <f t="shared" si="33"/>
        <v>8</v>
      </c>
    </row>
    <row r="40" spans="1:38" ht="15.75" x14ac:dyDescent="0.25">
      <c r="A40" s="2">
        <f t="shared" si="24"/>
        <v>46233</v>
      </c>
      <c r="B40" s="2">
        <f t="shared" si="15"/>
        <v>84</v>
      </c>
      <c r="C40" s="54" t="str">
        <f t="shared" si="0"/>
        <v>30.7. czwartek</v>
      </c>
      <c r="D40" s="159"/>
      <c r="E40" s="117" t="str">
        <f t="shared" si="16"/>
        <v xml:space="preserve"> </v>
      </c>
      <c r="F40" s="115">
        <v>8</v>
      </c>
      <c r="G40" s="115">
        <v>16</v>
      </c>
      <c r="H40" s="55">
        <f t="shared" si="1"/>
        <v>8</v>
      </c>
      <c r="I40" s="55">
        <f t="shared" si="2"/>
        <v>0</v>
      </c>
      <c r="J40" s="56">
        <f t="shared" si="3"/>
        <v>0</v>
      </c>
      <c r="K40" s="57">
        <f t="shared" si="34"/>
        <v>1</v>
      </c>
      <c r="L40" s="57">
        <f t="shared" si="17"/>
        <v>0</v>
      </c>
      <c r="M40" s="58" t="str">
        <f t="shared" si="4"/>
        <v>przerwa1</v>
      </c>
      <c r="N40" s="57">
        <f t="shared" si="18"/>
        <v>1</v>
      </c>
      <c r="O40" s="138"/>
      <c r="P40" s="149"/>
      <c r="Q40" s="138"/>
      <c r="R40" s="8"/>
      <c r="S40" s="60">
        <f t="shared" si="5"/>
        <v>0</v>
      </c>
      <c r="T40" s="60" t="str">
        <f t="shared" si="19"/>
        <v xml:space="preserve"> </v>
      </c>
      <c r="U40" s="60" t="str">
        <f t="shared" si="20"/>
        <v xml:space="preserve"> </v>
      </c>
      <c r="W40">
        <f t="shared" si="21"/>
        <v>480</v>
      </c>
      <c r="X40">
        <f t="shared" si="22"/>
        <v>0</v>
      </c>
      <c r="Y40">
        <f t="shared" si="23"/>
        <v>480</v>
      </c>
      <c r="AD40" s="158">
        <f t="shared" si="25"/>
        <v>8</v>
      </c>
      <c r="AE40" s="158">
        <f t="shared" si="26"/>
        <v>0</v>
      </c>
      <c r="AF40" s="64">
        <f t="shared" si="27"/>
        <v>8</v>
      </c>
      <c r="AG40" s="169">
        <f t="shared" si="28"/>
        <v>16</v>
      </c>
      <c r="AH40" s="169">
        <f t="shared" si="29"/>
        <v>0</v>
      </c>
      <c r="AI40" s="64">
        <f t="shared" si="30"/>
        <v>16</v>
      </c>
      <c r="AJ40" s="169">
        <f t="shared" si="31"/>
        <v>8</v>
      </c>
      <c r="AK40" s="169">
        <f t="shared" si="32"/>
        <v>0</v>
      </c>
      <c r="AL40" s="64">
        <f t="shared" si="33"/>
        <v>8</v>
      </c>
    </row>
    <row r="41" spans="1:38" ht="15.75" x14ac:dyDescent="0.25">
      <c r="A41" s="2">
        <f t="shared" si="24"/>
        <v>46234</v>
      </c>
      <c r="B41" s="2">
        <f t="shared" si="15"/>
        <v>84</v>
      </c>
      <c r="C41" s="54" t="str">
        <f t="shared" si="0"/>
        <v>31.7. piątek</v>
      </c>
      <c r="D41" s="159"/>
      <c r="E41" s="117" t="str">
        <f t="shared" si="16"/>
        <v xml:space="preserve"> </v>
      </c>
      <c r="F41" s="115">
        <v>8</v>
      </c>
      <c r="G41" s="115">
        <v>16</v>
      </c>
      <c r="H41" s="55">
        <f t="shared" si="1"/>
        <v>8</v>
      </c>
      <c r="I41" s="55">
        <f t="shared" si="2"/>
        <v>0</v>
      </c>
      <c r="J41" s="56">
        <f t="shared" si="3"/>
        <v>0</v>
      </c>
      <c r="K41" s="57">
        <f t="shared" si="34"/>
        <v>1</v>
      </c>
      <c r="L41" s="57">
        <f t="shared" si="17"/>
        <v>0</v>
      </c>
      <c r="M41" s="58" t="str">
        <f t="shared" si="4"/>
        <v>przerwa1</v>
      </c>
      <c r="N41" s="57">
        <f t="shared" si="18"/>
        <v>1</v>
      </c>
      <c r="O41" s="138"/>
      <c r="P41" s="149"/>
      <c r="Q41" s="138"/>
      <c r="R41" s="8"/>
      <c r="S41" s="60">
        <f t="shared" si="5"/>
        <v>0</v>
      </c>
      <c r="T41" s="60" t="str">
        <f t="shared" si="19"/>
        <v xml:space="preserve"> </v>
      </c>
      <c r="U41" s="60" t="str">
        <f t="shared" si="20"/>
        <v xml:space="preserve"> </v>
      </c>
      <c r="W41">
        <f t="shared" si="21"/>
        <v>480</v>
      </c>
      <c r="X41">
        <f t="shared" si="22"/>
        <v>0</v>
      </c>
      <c r="Y41">
        <f t="shared" si="23"/>
        <v>480</v>
      </c>
      <c r="AD41" s="158">
        <f t="shared" si="25"/>
        <v>8</v>
      </c>
      <c r="AE41" s="158">
        <f t="shared" si="26"/>
        <v>0</v>
      </c>
      <c r="AF41" s="64">
        <f t="shared" si="27"/>
        <v>8</v>
      </c>
      <c r="AG41" s="169">
        <f t="shared" si="28"/>
        <v>16</v>
      </c>
      <c r="AH41" s="169">
        <f t="shared" si="29"/>
        <v>0</v>
      </c>
      <c r="AI41" s="64">
        <f t="shared" si="30"/>
        <v>16</v>
      </c>
      <c r="AJ41" s="169">
        <f t="shared" si="31"/>
        <v>8</v>
      </c>
      <c r="AK41" s="169">
        <f t="shared" si="32"/>
        <v>0</v>
      </c>
      <c r="AL41" s="64">
        <f t="shared" si="33"/>
        <v>8</v>
      </c>
    </row>
    <row r="42" spans="1:38" ht="15.75" x14ac:dyDescent="0.25">
      <c r="A42" s="1"/>
      <c r="B42" s="1"/>
      <c r="C42" s="62"/>
      <c r="D42" s="116"/>
      <c r="E42" s="117"/>
      <c r="F42" s="116"/>
      <c r="G42" s="116"/>
      <c r="H42" s="55"/>
      <c r="I42" s="59"/>
      <c r="J42" s="56"/>
      <c r="K42" s="57">
        <f t="shared" si="34"/>
        <v>1</v>
      </c>
      <c r="L42" s="57">
        <f>IF(OR((D42="c"),(D42="u")),1,0)</f>
        <v>0</v>
      </c>
      <c r="M42" s="63"/>
      <c r="N42" s="57">
        <f>IF(OR((B42=83),(D42="w"),(D42="g"),(D42="c"),(D42="u")),0,1)</f>
        <v>1</v>
      </c>
      <c r="O42" s="64">
        <f>TRUNC(SUM(O11:O41)/60)+((SUM(O11:O41)/60)-(TRUNC(SUM(O11:O41)/60)))*60/100</f>
        <v>0</v>
      </c>
      <c r="P42" t="s">
        <v>132</v>
      </c>
      <c r="Q42" s="8"/>
      <c r="R42" s="8"/>
      <c r="S42" s="65">
        <f>SUM(S11:S41)</f>
        <v>0</v>
      </c>
      <c r="T42" s="66">
        <f>SUM(T11:T41)</f>
        <v>0</v>
      </c>
      <c r="U42" s="66">
        <f>SUM(U11:U41)</f>
        <v>0</v>
      </c>
    </row>
    <row r="43" spans="1:38" x14ac:dyDescent="0.25">
      <c r="A43" s="1"/>
      <c r="B43" s="1"/>
      <c r="C43" s="67"/>
      <c r="D43" s="21"/>
      <c r="E43" s="21"/>
      <c r="F43" s="21"/>
      <c r="G43" s="21"/>
      <c r="H43" s="21"/>
      <c r="I43" s="68"/>
      <c r="J43" s="68"/>
      <c r="K43" s="69"/>
      <c r="L43" s="69"/>
      <c r="M43" s="69"/>
      <c r="N43" s="70"/>
      <c r="O43" s="144"/>
      <c r="P43" s="8"/>
      <c r="Q43" s="8"/>
      <c r="R43" s="8"/>
      <c r="S43" s="71">
        <f>S42/60</f>
        <v>0</v>
      </c>
      <c r="T43" s="66"/>
      <c r="U43" s="8"/>
    </row>
    <row r="44" spans="1:38" ht="15" customHeight="1" x14ac:dyDescent="0.25">
      <c r="A44" s="1"/>
      <c r="B44" s="1"/>
      <c r="C44" s="67" t="s">
        <v>30</v>
      </c>
      <c r="D44" s="21"/>
      <c r="E44" s="72">
        <f>SUM(K11:K41)</f>
        <v>23</v>
      </c>
      <c r="F44" s="21" t="s">
        <v>31</v>
      </c>
      <c r="G44" s="21"/>
      <c r="H44" s="21"/>
      <c r="I44" s="73" t="s">
        <v>32</v>
      </c>
      <c r="J44" s="72">
        <f>SUM(N11:N41)</f>
        <v>23</v>
      </c>
      <c r="K44" s="74" t="s">
        <v>31</v>
      </c>
      <c r="L44" s="74"/>
      <c r="M44" s="74"/>
      <c r="N44" s="30"/>
      <c r="O44" s="141" t="s">
        <v>31</v>
      </c>
      <c r="P44" s="8"/>
      <c r="W44">
        <f>((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60)</f>
        <v>11040</v>
      </c>
      <c r="X44">
        <f>(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-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100)</f>
        <v>0</v>
      </c>
      <c r="Y44">
        <f>((TRUNC(O42)*60)+(O42-TRUNC(O42))*100)</f>
        <v>0</v>
      </c>
      <c r="Z44">
        <f>W44+X44+Y44</f>
        <v>11040</v>
      </c>
      <c r="AA44">
        <f>Z44/60</f>
        <v>184</v>
      </c>
      <c r="AB44">
        <f>TRUNC(AA44)</f>
        <v>184</v>
      </c>
      <c r="AC44">
        <f>(AA44-AB44)*60/100</f>
        <v>0</v>
      </c>
      <c r="AD44">
        <f>AB44+AC44</f>
        <v>184</v>
      </c>
    </row>
    <row r="45" spans="1:38" x14ac:dyDescent="0.25">
      <c r="A45" s="1"/>
      <c r="B45" s="1"/>
      <c r="C45" s="75" t="s">
        <v>33</v>
      </c>
      <c r="D45" s="21"/>
      <c r="E45" s="76">
        <f>ROUND(SUM(K11:K41)*godz,2)</f>
        <v>184</v>
      </c>
      <c r="F45" s="21" t="s">
        <v>34</v>
      </c>
      <c r="G45" s="21"/>
      <c r="H45" s="21"/>
      <c r="I45" s="73" t="s">
        <v>35</v>
      </c>
      <c r="J45" s="76">
        <f>AB44+AC44</f>
        <v>184</v>
      </c>
      <c r="K45" s="74" t="s">
        <v>34</v>
      </c>
      <c r="L45" s="74"/>
      <c r="M45" s="74"/>
      <c r="N45" s="30"/>
      <c r="O45" s="141" t="s">
        <v>34</v>
      </c>
      <c r="P45" s="8"/>
    </row>
    <row r="46" spans="1:38" x14ac:dyDescent="0.25">
      <c r="A46" s="1"/>
      <c r="B46" s="1"/>
      <c r="C46" s="67"/>
      <c r="D46" s="21"/>
      <c r="E46" s="76"/>
      <c r="F46" s="21"/>
      <c r="G46" s="21"/>
      <c r="H46" s="21"/>
      <c r="I46" s="73"/>
      <c r="J46" s="76"/>
      <c r="K46" s="74"/>
      <c r="L46" s="74"/>
      <c r="M46" s="74"/>
      <c r="N46" s="30"/>
      <c r="O46" s="141"/>
      <c r="P46" s="8"/>
    </row>
    <row r="47" spans="1:38" x14ac:dyDescent="0.25">
      <c r="A47" s="1"/>
      <c r="B47" s="1"/>
      <c r="C47" s="67"/>
      <c r="D47" s="21"/>
      <c r="E47" s="76"/>
      <c r="F47" s="21"/>
      <c r="G47" s="21"/>
      <c r="H47" s="21"/>
      <c r="I47" s="73" t="s">
        <v>36</v>
      </c>
      <c r="J47" s="72">
        <f>SUM(L11:L41)</f>
        <v>0</v>
      </c>
      <c r="K47" s="74" t="s">
        <v>37</v>
      </c>
      <c r="L47" s="74"/>
      <c r="M47" s="74"/>
      <c r="N47" s="30"/>
      <c r="O47" s="141" t="s">
        <v>37</v>
      </c>
      <c r="P47" s="8"/>
    </row>
    <row r="48" spans="1:38" x14ac:dyDescent="0.25">
      <c r="A48" s="1"/>
      <c r="B48" s="1"/>
      <c r="C48" s="67"/>
      <c r="D48" s="21"/>
      <c r="E48" s="21"/>
      <c r="F48" s="21"/>
      <c r="G48" s="21"/>
      <c r="H48" s="21"/>
      <c r="I48" s="73" t="s">
        <v>147</v>
      </c>
      <c r="J48" s="167"/>
      <c r="K48" s="78"/>
      <c r="L48" s="78"/>
      <c r="M48" s="78"/>
      <c r="N48" s="79"/>
      <c r="O48" s="141"/>
      <c r="P48" s="8"/>
    </row>
    <row r="49" spans="3:16" x14ac:dyDescent="0.25">
      <c r="C49" s="80" t="s">
        <v>61</v>
      </c>
      <c r="D49" s="21"/>
      <c r="E49" s="76">
        <f>TRUNC((((TRUNC(J45)*60)+(J45-TRUNC(J45))*100)-E45*60)/60)+((((((TRUNC(J45)*60)+(J45-TRUNC(J45))*100)-E45*60)/60)-TRUNC((((TRUNC(J45)*60)+(J45-TRUNC(J45))*100)-E45*60)/60))*60/100)</f>
        <v>0</v>
      </c>
      <c r="F49" s="21" t="s">
        <v>34</v>
      </c>
      <c r="G49" s="8"/>
      <c r="H49" s="73"/>
      <c r="I49" s="73" t="s">
        <v>148</v>
      </c>
      <c r="J49" s="76">
        <f>TRUNC((((ROUND(J47*godz,2))*60)-(TRUNC(J48)*60+(J48-TRUNC(J48))*100))/60)+((((((ROUND(J47*godz,2))*60)-(TRUNC(J48)*60+(J48-TRUNC(J48))*100))/60)-TRUNC((((ROUND(J47*godz,2))*60)-(TRUNC(J48)*60+(J48-TRUNC(J48))*100))/60))*60/100)</f>
        <v>0</v>
      </c>
      <c r="K49" s="77"/>
      <c r="L49" s="21"/>
      <c r="M49" s="21"/>
      <c r="N49" s="30"/>
      <c r="O49" s="142"/>
      <c r="P49" s="21"/>
    </row>
    <row r="50" spans="3:16" ht="15.75" customHeight="1" thickBot="1" x14ac:dyDescent="0.3">
      <c r="C50" s="163" t="s">
        <v>38</v>
      </c>
      <c r="D50" s="164"/>
      <c r="E50" s="165">
        <f>J49</f>
        <v>0</v>
      </c>
      <c r="F50" s="164" t="s">
        <v>34</v>
      </c>
      <c r="G50" s="82"/>
      <c r="H50" s="21"/>
      <c r="I50" s="83"/>
      <c r="J50" s="83"/>
      <c r="K50" s="21"/>
      <c r="L50" s="21"/>
      <c r="M50" s="21"/>
      <c r="N50" s="30"/>
      <c r="O50" s="30"/>
      <c r="P50" s="8"/>
    </row>
    <row r="51" spans="3:16" ht="15.75" thickBot="1" x14ac:dyDescent="0.3">
      <c r="C51" s="166" t="s">
        <v>134</v>
      </c>
      <c r="D51" s="164"/>
      <c r="E51" s="165">
        <f>TRUNC(((TRUNC(J45)*60+(J45-TRUNC(J45))*100)+(TRUNC(J49)*60+(J49-TRUNC(J49))*100))/60)+((((TRUNC(J45)*60+(J45-TRUNC(J45))*100)+(TRUNC(J49)*60+(J49-TRUNC(J49))*100))/60)-TRUNC(((TRUNC(J45)*60+(J45-TRUNC(J45))*100)+(TRUNC(J49)*60+(J49-TRUNC(J49))*100))/60))*60/100</f>
        <v>184</v>
      </c>
      <c r="F51" s="164" t="s">
        <v>34</v>
      </c>
      <c r="G51" s="21"/>
      <c r="H51" s="21"/>
      <c r="I51" s="83" t="s">
        <v>39</v>
      </c>
      <c r="J51" s="84">
        <f>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+(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-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)*60/100)</f>
        <v>0</v>
      </c>
      <c r="K51" s="83" t="s">
        <v>34</v>
      </c>
      <c r="L51" s="83"/>
      <c r="M51" s="85"/>
      <c r="N51" s="30"/>
      <c r="O51" s="143" t="s">
        <v>34</v>
      </c>
      <c r="P51" s="8"/>
    </row>
    <row r="52" spans="3:16" ht="15.75" thickBot="1" x14ac:dyDescent="0.3">
      <c r="C52" s="86"/>
      <c r="D52" s="87"/>
      <c r="E52" s="88" t="s">
        <v>40</v>
      </c>
      <c r="F52" s="89"/>
      <c r="G52" s="87"/>
      <c r="H52" s="87"/>
      <c r="I52" s="88" t="s">
        <v>40</v>
      </c>
      <c r="J52" s="88" t="s">
        <v>41</v>
      </c>
      <c r="K52" s="87"/>
      <c r="L52" s="87"/>
      <c r="M52" s="87"/>
      <c r="N52" s="90"/>
      <c r="O52" s="90"/>
      <c r="P52" s="8"/>
    </row>
    <row r="53" spans="3:16" x14ac:dyDescent="0.25">
      <c r="C53" s="91" t="s">
        <v>52</v>
      </c>
      <c r="D53" s="13"/>
      <c r="E53" s="13"/>
      <c r="F53" s="13"/>
      <c r="G53" s="13"/>
      <c r="H53" s="13"/>
      <c r="I53" s="92"/>
      <c r="J53" s="92"/>
      <c r="K53" s="92"/>
      <c r="L53" s="92"/>
      <c r="M53" s="92"/>
      <c r="N53" s="93"/>
      <c r="O53" s="147"/>
      <c r="P53" s="8"/>
    </row>
    <row r="54" spans="3:16" ht="15.75" customHeight="1" x14ac:dyDescent="0.25">
      <c r="C54" s="118" t="s">
        <v>51</v>
      </c>
      <c r="D54" s="21"/>
      <c r="E54" s="94">
        <f>'Juni 2026'!J54</f>
        <v>6.56</v>
      </c>
      <c r="F54" s="83" t="s">
        <v>34</v>
      </c>
      <c r="G54" s="21"/>
      <c r="H54" s="21"/>
      <c r="I54" s="95" t="s">
        <v>44</v>
      </c>
      <c r="J54" s="98">
        <f>TRUNC(SUM(((TRUNC(J51)*60)+((J51-TRUNC(J51))*100)),(TRUNC(E54)*60)+((E54-TRUNC(E54))*100))/60)+((SUM(((TRUNC(J51)*60)+((J51-TRUNC(J51))*100)),(TRUNC(E54)*60)+((E54-TRUNC(E54))*100))/60)-TRUNC((SUM(((TRUNC(J51)*60)+((J51-TRUNC(J51))*100)),(TRUNC(E54)*60)+((E54-TRUNC(E54))*100))/60)))*60/100</f>
        <v>6.56</v>
      </c>
      <c r="K54" s="96" t="s">
        <v>34</v>
      </c>
      <c r="L54" s="81"/>
      <c r="M54" s="81"/>
      <c r="N54" s="30"/>
      <c r="O54" s="145" t="s">
        <v>34</v>
      </c>
      <c r="P54" s="8"/>
    </row>
    <row r="55" spans="3:16" ht="15.75" thickBot="1" x14ac:dyDescent="0.3">
      <c r="C55" s="119"/>
      <c r="D55" s="87"/>
      <c r="E55" s="87"/>
      <c r="F55" s="87"/>
      <c r="G55" s="87"/>
      <c r="H55" s="87"/>
      <c r="I55" s="97"/>
      <c r="J55" s="97"/>
      <c r="K55" s="97"/>
      <c r="L55" s="97"/>
      <c r="M55" s="97"/>
      <c r="N55" s="90"/>
      <c r="O55" s="146"/>
      <c r="P55" s="8"/>
    </row>
    <row r="56" spans="3:16" x14ac:dyDescent="0.25">
      <c r="C56" s="10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</row>
    <row r="57" spans="3:16" x14ac:dyDescent="0.25">
      <c r="C57" s="6"/>
    </row>
    <row r="58" spans="3:16" x14ac:dyDescent="0.25">
      <c r="E58" s="161"/>
    </row>
  </sheetData>
  <sheetProtection selectLockedCells="1"/>
  <mergeCells count="3">
    <mergeCell ref="E2:F2"/>
    <mergeCell ref="E4:F4"/>
    <mergeCell ref="E3:F3"/>
  </mergeCells>
  <pageMargins left="0.7" right="0.7" top="0.75" bottom="0.75" header="0.3" footer="0.3"/>
  <pageSetup paperSize="9" orientation="portrait" horizontalDpi="4294967295" verticalDpi="4294967295" r:id="rId1"/>
  <ignoredErrors>
    <ignoredError sqref="J47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Dane!$A$1:$A$12</xm:f>
          </x14:formula1>
          <xm:sqref>D11:D42</xm:sqref>
        </x14:dataValidation>
        <x14:dataValidation type="list" allowBlank="1" showInputMessage="1" showErrorMessage="1">
          <x14:formula1>
            <xm:f>Dane!$G$2:$G$16</xm:f>
          </x14:formula1>
          <xm:sqref>P11:P42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/>
  <dimension ref="A1:AL58"/>
  <sheetViews>
    <sheetView topLeftCell="C4" zoomScaleNormal="100" workbookViewId="0">
      <selection activeCell="F42" sqref="F42"/>
    </sheetView>
  </sheetViews>
  <sheetFormatPr defaultColWidth="9.140625" defaultRowHeight="15" x14ac:dyDescent="0.25"/>
  <cols>
    <col min="1" max="1" width="3.42578125" hidden="1" customWidth="1"/>
    <col min="2" max="2" width="3" hidden="1" customWidth="1"/>
    <col min="3" max="3" width="19.85546875" customWidth="1"/>
    <col min="4" max="4" width="3.7109375" customWidth="1"/>
    <col min="5" max="5" width="14.28515625" bestFit="1" customWidth="1"/>
    <col min="8" max="8" width="7.42578125" customWidth="1"/>
    <col min="9" max="9" width="14.42578125" customWidth="1"/>
    <col min="10" max="10" width="10" bestFit="1" customWidth="1"/>
    <col min="11" max="11" width="8.42578125" hidden="1" customWidth="1"/>
    <col min="12" max="12" width="9.5703125" hidden="1" customWidth="1"/>
    <col min="13" max="13" width="8.28515625" hidden="1" customWidth="1"/>
    <col min="14" max="14" width="15.28515625" hidden="1" customWidth="1"/>
    <col min="15" max="15" width="14.7109375" customWidth="1"/>
    <col min="17" max="17" width="13.28515625" customWidth="1"/>
    <col min="19" max="19" width="9.140625" hidden="1" customWidth="1"/>
    <col min="20" max="20" width="13.85546875" customWidth="1"/>
    <col min="21" max="21" width="14.85546875" customWidth="1"/>
    <col min="23" max="31" width="9.140625" hidden="1" customWidth="1"/>
    <col min="32" max="32" width="16.140625" bestFit="1" customWidth="1"/>
    <col min="33" max="34" width="9.140625" hidden="1" customWidth="1"/>
    <col min="35" max="35" width="12.28515625" bestFit="1" customWidth="1"/>
    <col min="36" max="37" width="9.140625" hidden="1" customWidth="1"/>
    <col min="38" max="38" width="13.140625" bestFit="1" customWidth="1"/>
  </cols>
  <sheetData>
    <row r="1" spans="1:38" ht="18.75" thickBot="1" x14ac:dyDescent="0.3">
      <c r="A1" s="5" t="s">
        <v>48</v>
      </c>
      <c r="B1" s="1"/>
      <c r="C1" s="103" t="s">
        <v>0</v>
      </c>
      <c r="D1" s="104">
        <v>8</v>
      </c>
      <c r="E1" s="102"/>
      <c r="F1" s="102"/>
      <c r="G1" s="103" t="s">
        <v>1</v>
      </c>
      <c r="H1" s="105" t="str">
        <f>'Januar 2026'!rok</f>
        <v>2026</v>
      </c>
      <c r="I1" s="106" t="s">
        <v>2</v>
      </c>
      <c r="J1" s="107">
        <v>8</v>
      </c>
      <c r="K1" s="108"/>
      <c r="L1" s="109"/>
      <c r="M1" s="109"/>
      <c r="N1" s="110"/>
      <c r="O1" s="8"/>
      <c r="P1" s="8"/>
      <c r="Q1" s="9" t="str">
        <f>Dane!A2</f>
        <v>w</v>
      </c>
      <c r="R1" s="10" t="str">
        <f>Dane!B2</f>
        <v>dzień wolny ustawowo</v>
      </c>
      <c r="S1" s="8"/>
      <c r="T1" s="8"/>
      <c r="U1" s="123" t="str">
        <f>Dane!A9</f>
        <v>oc</v>
      </c>
      <c r="V1" s="8" t="str">
        <f>Dane!B9</f>
        <v>opieka nad chorym dzieckiem</v>
      </c>
    </row>
    <row r="2" spans="1:38" x14ac:dyDescent="0.25">
      <c r="A2" s="2"/>
      <c r="B2" s="1"/>
      <c r="C2" s="11"/>
      <c r="D2" s="11" t="s">
        <v>4</v>
      </c>
      <c r="E2" s="175"/>
      <c r="F2" s="176"/>
      <c r="G2" s="16"/>
      <c r="H2" s="17"/>
      <c r="I2" s="28" t="s">
        <v>5</v>
      </c>
      <c r="J2" s="101">
        <v>40</v>
      </c>
      <c r="K2" s="12" t="s">
        <v>6</v>
      </c>
      <c r="L2" s="13"/>
      <c r="M2" s="13"/>
      <c r="N2" s="14"/>
      <c r="O2" s="12" t="s">
        <v>6</v>
      </c>
      <c r="P2" s="8"/>
      <c r="Q2" s="9" t="str">
        <f>Dane!A3</f>
        <v>u</v>
      </c>
      <c r="R2" s="10" t="str">
        <f>Dane!B3</f>
        <v>urlop</v>
      </c>
      <c r="S2" s="8"/>
      <c r="T2" s="8"/>
      <c r="U2" s="122" t="str">
        <f>Dane!A10</f>
        <v>um</v>
      </c>
      <c r="V2" s="8" t="str">
        <f>Dane!B10</f>
        <v>urlop macierzyński</v>
      </c>
    </row>
    <row r="3" spans="1:38" x14ac:dyDescent="0.25">
      <c r="A3" s="1"/>
      <c r="B3" s="1"/>
      <c r="C3" s="15"/>
      <c r="D3" s="15" t="s">
        <v>46</v>
      </c>
      <c r="E3" s="175"/>
      <c r="F3" s="176"/>
      <c r="G3" s="16"/>
      <c r="H3" s="17"/>
      <c r="I3" s="18"/>
      <c r="J3" s="19"/>
      <c r="K3" s="20"/>
      <c r="L3" s="21"/>
      <c r="M3" s="21"/>
      <c r="N3" s="22"/>
      <c r="O3" s="20"/>
      <c r="P3" s="8"/>
      <c r="Q3" s="9" t="str">
        <f>Dane!A4</f>
        <v>c</v>
      </c>
      <c r="R3" s="10" t="str">
        <f>Dane!B4</f>
        <v>choroba</v>
      </c>
      <c r="S3" s="8"/>
      <c r="T3" s="8"/>
      <c r="U3" s="122" t="str">
        <f>Dane!A11</f>
        <v>uz</v>
      </c>
      <c r="V3" s="8" t="str">
        <f>Dane!B11</f>
        <v>urlop zaplanowany</v>
      </c>
    </row>
    <row r="4" spans="1:38" ht="15.75" thickBot="1" x14ac:dyDescent="0.3">
      <c r="A4" s="3"/>
      <c r="B4" s="1"/>
      <c r="C4" s="15"/>
      <c r="D4" s="23" t="s">
        <v>11</v>
      </c>
      <c r="E4" s="175"/>
      <c r="F4" s="176"/>
      <c r="G4" s="16"/>
      <c r="H4" s="17"/>
      <c r="I4" s="18"/>
      <c r="J4" s="19"/>
      <c r="K4" s="20"/>
      <c r="L4" s="21"/>
      <c r="M4" s="21"/>
      <c r="N4" s="22"/>
      <c r="O4" s="20"/>
      <c r="P4" s="8"/>
      <c r="Q4" s="9" t="str">
        <f>Dane!A5</f>
        <v>g</v>
      </c>
      <c r="R4" s="10" t="str">
        <f>Dane!B5</f>
        <v xml:space="preserve">godz.(rządanie pracownika) </v>
      </c>
      <c r="S4" s="8"/>
      <c r="T4" s="8"/>
      <c r="U4" s="122" t="str">
        <f>Dane!A12</f>
        <v>gp</v>
      </c>
      <c r="V4" t="str">
        <f>Dane!B12</f>
        <v xml:space="preserve">godz.(rządanie pracodawcy) </v>
      </c>
    </row>
    <row r="5" spans="1:38" x14ac:dyDescent="0.25">
      <c r="A5" s="3"/>
      <c r="B5" s="1"/>
      <c r="C5" s="15"/>
      <c r="D5" s="24"/>
      <c r="E5" s="25"/>
      <c r="F5" s="26"/>
      <c r="G5" s="27"/>
      <c r="H5" s="17"/>
      <c r="I5" s="28" t="s">
        <v>12</v>
      </c>
      <c r="J5" s="111">
        <v>0</v>
      </c>
      <c r="K5" s="29" t="s">
        <v>13</v>
      </c>
      <c r="L5" s="21"/>
      <c r="M5" s="21"/>
      <c r="N5" s="30"/>
      <c r="O5" s="29" t="s">
        <v>13</v>
      </c>
      <c r="P5" s="8"/>
      <c r="Q5" s="9" t="str">
        <f>Dane!A6</f>
        <v>s</v>
      </c>
      <c r="R5" s="10" t="str">
        <f>Dane!B6</f>
        <v>urlop specjalny/okolicznościow</v>
      </c>
      <c r="S5" s="8"/>
      <c r="T5" s="8"/>
      <c r="U5" s="9"/>
    </row>
    <row r="6" spans="1:38" x14ac:dyDescent="0.25">
      <c r="A6" s="3"/>
      <c r="B6" s="1"/>
      <c r="C6" s="15"/>
      <c r="D6" s="23"/>
      <c r="E6" s="31"/>
      <c r="F6" s="32"/>
      <c r="G6" s="33"/>
      <c r="H6" s="17"/>
      <c r="I6" s="21"/>
      <c r="J6" s="112">
        <v>0</v>
      </c>
      <c r="K6" s="29" t="s">
        <v>16</v>
      </c>
      <c r="L6" s="21"/>
      <c r="M6" s="21"/>
      <c r="N6" s="30"/>
      <c r="O6" s="29" t="s">
        <v>16</v>
      </c>
      <c r="P6" s="8"/>
      <c r="Q6" s="9" t="str">
        <f>Dane!A7</f>
        <v>a</v>
      </c>
      <c r="R6" s="10" t="str">
        <f>Dane!B7</f>
        <v>nieobecny</v>
      </c>
      <c r="S6" s="8"/>
      <c r="T6" s="8"/>
      <c r="U6" s="8"/>
    </row>
    <row r="7" spans="1:38" ht="15.75" thickBot="1" x14ac:dyDescent="0.3">
      <c r="A7" s="1"/>
      <c r="B7" s="1"/>
      <c r="C7" s="34"/>
      <c r="D7" s="35"/>
      <c r="E7" s="35"/>
      <c r="F7" s="35"/>
      <c r="G7" s="35"/>
      <c r="H7" s="17"/>
      <c r="I7" s="28" t="s">
        <v>17</v>
      </c>
      <c r="J7" s="113">
        <v>8</v>
      </c>
      <c r="K7" s="20" t="s">
        <v>18</v>
      </c>
      <c r="L7" s="21"/>
      <c r="M7" s="21"/>
      <c r="N7" s="30"/>
      <c r="O7" s="20" t="s">
        <v>18</v>
      </c>
      <c r="P7" s="8"/>
      <c r="Q7" s="9" t="str">
        <f>Dane!A8</f>
        <v>op</v>
      </c>
      <c r="R7" s="10" t="str">
        <f>Dane!B8</f>
        <v>opieka nad zdrowym dzieckiem</v>
      </c>
      <c r="S7" s="8"/>
      <c r="T7" s="8"/>
      <c r="U7" s="8"/>
    </row>
    <row r="8" spans="1:38" ht="23.25" x14ac:dyDescent="0.35">
      <c r="A8" s="2"/>
      <c r="B8" s="2"/>
      <c r="C8" s="99" t="s">
        <v>45</v>
      </c>
      <c r="D8" s="7"/>
      <c r="E8" s="7"/>
      <c r="F8" s="100" t="str">
        <f>TEXT(DATE(H1,D1,1),"MMMM rrrr")</f>
        <v>sierpień 2026</v>
      </c>
      <c r="G8" s="36"/>
      <c r="H8" s="37"/>
      <c r="I8" s="38"/>
      <c r="J8" s="39"/>
      <c r="K8" s="39"/>
      <c r="L8" s="39"/>
      <c r="M8" s="39"/>
      <c r="N8" s="40"/>
      <c r="O8" s="41"/>
      <c r="P8" s="42"/>
      <c r="Q8" s="41"/>
      <c r="R8" s="42"/>
      <c r="S8" s="41"/>
      <c r="T8" s="41"/>
      <c r="U8" s="42"/>
    </row>
    <row r="9" spans="1:38" ht="15.75" thickBot="1" x14ac:dyDescent="0.3">
      <c r="A9" s="2"/>
      <c r="B9" s="2"/>
      <c r="C9" s="43"/>
      <c r="D9" s="44" t="s">
        <v>21</v>
      </c>
      <c r="E9" s="45" t="str">
        <f>TEXT(F9,"DDDD ")</f>
        <v xml:space="preserve">sobota </v>
      </c>
      <c r="F9" s="45">
        <f>DATE(H1,D1,1)</f>
        <v>46235</v>
      </c>
      <c r="G9" s="44" t="s">
        <v>22</v>
      </c>
      <c r="H9" s="46" t="str">
        <f>TEXT(I9,"DDDD ")</f>
        <v xml:space="preserve">poniedziałek </v>
      </c>
      <c r="I9" s="45">
        <f>DATE(YEAR(F9),MONTH(F9+31),DAY(F9))-1</f>
        <v>46265</v>
      </c>
      <c r="J9" s="47"/>
      <c r="K9" s="47"/>
      <c r="L9" s="47"/>
      <c r="M9" s="47"/>
      <c r="N9" s="30"/>
      <c r="O9" s="48"/>
      <c r="P9" s="49"/>
      <c r="Q9" s="48"/>
      <c r="R9" s="49"/>
      <c r="S9" s="48"/>
      <c r="T9" s="48"/>
      <c r="U9" s="49"/>
    </row>
    <row r="10" spans="1:38" ht="52.5" thickBot="1" x14ac:dyDescent="0.3">
      <c r="A10" s="4"/>
      <c r="B10" s="4"/>
      <c r="C10" s="50" t="s">
        <v>23</v>
      </c>
      <c r="D10" s="51"/>
      <c r="E10" s="51" t="s">
        <v>24</v>
      </c>
      <c r="F10" s="51" t="s">
        <v>25</v>
      </c>
      <c r="G10" s="51" t="s">
        <v>26</v>
      </c>
      <c r="H10" s="51" t="s">
        <v>27</v>
      </c>
      <c r="I10" s="51" t="s">
        <v>137</v>
      </c>
      <c r="J10" s="51" t="s">
        <v>28</v>
      </c>
      <c r="K10" s="51"/>
      <c r="L10" s="51" t="s">
        <v>100</v>
      </c>
      <c r="M10" s="51"/>
      <c r="N10" s="52"/>
      <c r="O10" s="51" t="s">
        <v>29</v>
      </c>
      <c r="P10" s="51" t="s">
        <v>105</v>
      </c>
      <c r="Q10" s="136" t="s">
        <v>101</v>
      </c>
      <c r="R10" s="53"/>
      <c r="S10" s="51"/>
      <c r="T10" s="114" t="s">
        <v>49</v>
      </c>
      <c r="U10" s="114" t="s">
        <v>50</v>
      </c>
      <c r="W10" t="s">
        <v>138</v>
      </c>
      <c r="X10" t="s">
        <v>139</v>
      </c>
      <c r="Y10" t="s">
        <v>140</v>
      </c>
      <c r="AF10" s="171" t="s">
        <v>152</v>
      </c>
      <c r="AG10" s="171"/>
      <c r="AH10" s="171"/>
      <c r="AI10" s="171" t="s">
        <v>153</v>
      </c>
      <c r="AJ10" s="171"/>
      <c r="AK10" s="171"/>
      <c r="AL10" s="171" t="s">
        <v>154</v>
      </c>
    </row>
    <row r="11" spans="1:38" ht="15.75" x14ac:dyDescent="0.25">
      <c r="A11" s="2">
        <f>DATE(H1,D1,1)</f>
        <v>46235</v>
      </c>
      <c r="B11" s="2">
        <f>CODE(TEXT(A11,"TTTT"))</f>
        <v>84</v>
      </c>
      <c r="C11" s="54" t="str">
        <f t="shared" ref="C11:C41" si="0">TEXT(A11,"DD.M. DDDD")</f>
        <v>01.8. sobota</v>
      </c>
      <c r="D11" s="159" t="s">
        <v>47</v>
      </c>
      <c r="E11" s="117" t="str">
        <f>IF(D11="w","wolne",IF(D11="u","urlop",IF(D11="c","choroba",IF(D11="g","godziny",IF(D11="a","nieobecny",IF(D11="op","opieka"," "))))))</f>
        <v>wolne</v>
      </c>
      <c r="F11" s="115"/>
      <c r="G11" s="115"/>
      <c r="H11" s="55" t="str">
        <f t="shared" ref="H11:H41" si="1">IF(D11="d",(((((TRUNC(G11)-1)-TRUNC(F11))*60)+((G11-TRUNC(G11))*100)+(60-(F11-TRUNC(F11))*100))-(IF(M11&lt;przerwa1,pause,przerwa1)))/60,IF((OR((B11=83),(D11="u"),(D11="uz"),(D11="a"),(D11="c"),(D11="s"),(AND(D11="w",F11="")),(D11="oc"),(D11="um"),(D11="op"),(D11="oc"))),"",IF(OR(D11="g",AND(D11="gp",F11="")),0,TRUNC((((TRUNC(G11)*60+(G11-(TRUNC(G11)))*100)-(TRUNC(F11)*60+(F11-TRUNC(F11))*100))-(IF(M11&lt;przerwa1,pause,przerwa1)))/60)+(((((TRUNC(G11)*60+(G11-(TRUNC(G11)))*100)-(TRUNC(F11)*60+(F11-TRUNC(F11))*100))-(IF(M11&lt;przerwa1,pause,przerwa1)))/60)-TRUNC(((((TRUNC(G11)*60+(G11-(TRUNC(G11)))*100)-(TRUNC(F11)*60+(F11-TRUNC(F11))*100))-(IF(M11&lt;przerwa1,pause,przerwa1)))/60)))*60/100)))</f>
        <v/>
      </c>
      <c r="I11" s="55" t="str">
        <f t="shared" ref="I11:I41" si="2">IF(AND(D11="gp",F11=""),-(TRUNC(godz/1.5)+((godz/1.5)-TRUNC(godz/1.5))*60/100),IF(AND(D11="gp",F11&lt;&gt;"",G11&lt;&gt;""),ROUND(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+(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-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)*60/100,2),IF(OR((B11=83),(D11="w"),(D11="s"),(D11="c"),(D11="a"),(D11="oc"),(D11="um"),(D11="op"),(D11="uz"),(D11="u")),"",ROUND((TRUNC(H11-godz)+(((TRUNC(H11)*60)+(H11-TRUNC(H11))*100)-(godz*60)-(TRUNC(H11-godz)*60))/100),2))))</f>
        <v/>
      </c>
      <c r="J11" s="56" t="str">
        <f t="shared" ref="J11:J41" si="3">IF(D11="gp",(TRUNC(I11)*60+(I11-TRUNC(I11))*100),IF(OR((I11=""),(B11=83)),"",IF((I11=0),0,TRUNC(H11-godz)*60+(((TRUNC(H11)*60)+(H11-TRUNC(H11))*100)-(godz*60)-(TRUNC(H11-godz)*60)))))</f>
        <v/>
      </c>
      <c r="K11" s="57">
        <f>IF(OR((B11=83),(D11="w")),0,1)</f>
        <v>0</v>
      </c>
      <c r="L11" s="57">
        <f>IF(OR((D11="c"),(D11="u"),(D11="uz"),(D11="um"),(D11="op"),(D11="oc"),(D11="s")),1,0)</f>
        <v>0</v>
      </c>
      <c r="M11" s="58" t="str">
        <f t="shared" ref="M11:M41" si="4">IF(((((((TRUNC(G11)-1)-TRUNC(F11))*60)+((G11-TRUNC(G11))*100)+(60-(F11-TRUNC(F11))*100)))/100)&lt;pause2,"przerwa1","pause")</f>
        <v>przerwa1</v>
      </c>
      <c r="N11" s="57">
        <f>IF(OR((B11=83),(D11="w"),(D11="g"),(D11="c"),(D11="u"),(D11="uz"),(D11="op"),(D11="oc")),0,1)</f>
        <v>0</v>
      </c>
      <c r="O11" s="137"/>
      <c r="P11" s="149"/>
      <c r="Q11" s="138"/>
      <c r="R11" s="8"/>
      <c r="S11" s="60" t="str">
        <f t="shared" ref="S11:S41" si="5">IF(H11&lt;&gt;"",IF(D11="w",((TRUNC(H11)*60)+(H11-TRUNC(H11))*100),((TRUNC(H11)*60+(H11-TRUNC(H11))*100)-pause2*60-O11))," ")</f>
        <v xml:space="preserve"> </v>
      </c>
      <c r="T11" s="60" t="str">
        <f>IF(S11&gt;0,S11," ")</f>
        <v xml:space="preserve"> </v>
      </c>
      <c r="U11" s="60" t="str">
        <f>IF(S11&lt;0,S11," ")</f>
        <v xml:space="preserve"> </v>
      </c>
      <c r="W11">
        <f>IF(H11="",0,TRUNC(H11)*60)</f>
        <v>0</v>
      </c>
      <c r="X11">
        <f>IF(H11="",0,ROUND((H11-TRUNC(H11))*100,0)-O11)</f>
        <v>0</v>
      </c>
      <c r="Y11">
        <f>IF(D11="gp",(TRUNC(I11)*60+(I11-TRUNC(I11))*100),(IF(D11="g",(TRUNC(I11)*60+(I11-TRUNC(I11))*100),W11+X11)))</f>
        <v>0</v>
      </c>
      <c r="AD11" s="158">
        <f t="shared" ref="AD11:AD12" si="6">TRUNC(F11)</f>
        <v>0</v>
      </c>
      <c r="AE11" s="158">
        <f t="shared" ref="AE11:AE12" si="7">F11-TRUNC(F11)</f>
        <v>0</v>
      </c>
      <c r="AF11" s="64" t="str">
        <f t="shared" ref="AF11:AF12" si="8">IF(F11&lt;&gt;0,AD11+(AE11/0.6)," ")</f>
        <v xml:space="preserve"> </v>
      </c>
      <c r="AG11" s="169">
        <f t="shared" ref="AG11:AG12" si="9">TRUNC(G11)</f>
        <v>0</v>
      </c>
      <c r="AH11" s="169">
        <f t="shared" ref="AH11:AH12" si="10">G11-TRUNC(G11)</f>
        <v>0</v>
      </c>
      <c r="AI11" s="64" t="str">
        <f t="shared" ref="AI11:AI12" si="11">IF(G11&lt;&gt;0,AG11+(AH11/0.6)," ")</f>
        <v xml:space="preserve"> </v>
      </c>
      <c r="AJ11" s="169" t="str">
        <f t="shared" ref="AJ11:AJ12" si="12">IF(H11&lt;&gt;"",TRUNC(H11),"")</f>
        <v/>
      </c>
      <c r="AK11" s="169" t="str">
        <f t="shared" ref="AK11:AK14" si="13">IF(H11&lt;&gt;"",H11-AJ11,"")</f>
        <v/>
      </c>
      <c r="AL11" s="64" t="str">
        <f t="shared" ref="AL11:AL12" si="14">IF(H11&lt;&gt;"",AJ11+(AK11/0.6)," ")</f>
        <v xml:space="preserve"> </v>
      </c>
    </row>
    <row r="12" spans="1:38" ht="15.75" x14ac:dyDescent="0.25">
      <c r="A12" s="2">
        <f>(A11+1)</f>
        <v>46236</v>
      </c>
      <c r="B12" s="2">
        <f t="shared" ref="B12:B41" si="15">CODE(TEXT(A12,"TTTT"))</f>
        <v>84</v>
      </c>
      <c r="C12" s="54" t="str">
        <f t="shared" si="0"/>
        <v>02.8. niedziela</v>
      </c>
      <c r="D12" s="159" t="s">
        <v>47</v>
      </c>
      <c r="E12" s="117" t="str">
        <f t="shared" ref="E12:E41" si="16">IF(D12="w","wolne",IF(D12="u","urlop",IF(D12="c","choroba",IF(D12="g","godziny",IF(D12="a","nieobecny",IF(D12="op","opieka"," "))))))</f>
        <v>wolne</v>
      </c>
      <c r="F12" s="115"/>
      <c r="G12" s="115"/>
      <c r="H12" s="55" t="str">
        <f t="shared" si="1"/>
        <v/>
      </c>
      <c r="I12" s="55" t="str">
        <f t="shared" si="2"/>
        <v/>
      </c>
      <c r="J12" s="56" t="str">
        <f t="shared" si="3"/>
        <v/>
      </c>
      <c r="K12" s="57">
        <f>IF(OR((B12=83),(D12="w")),0,1)</f>
        <v>0</v>
      </c>
      <c r="L12" s="57">
        <f t="shared" ref="L12:L41" si="17">IF(OR((D12="c"),(D12="u"),(D12="uz"),(D12="um"),(D12="op"),(D12="oc"),(D12="s")),1,0)</f>
        <v>0</v>
      </c>
      <c r="M12" s="58" t="str">
        <f t="shared" si="4"/>
        <v>przerwa1</v>
      </c>
      <c r="N12" s="57">
        <f t="shared" ref="N12:N41" si="18">IF(OR((B12=83),(D12="w"),(D12="g"),(D12="c"),(D12="u"),(D12="uz"),(D12="op"),(D12="oc")),0,1)</f>
        <v>0</v>
      </c>
      <c r="O12" s="138"/>
      <c r="P12" s="149"/>
      <c r="Q12" s="138"/>
      <c r="R12" s="8"/>
      <c r="S12" s="60" t="str">
        <f t="shared" si="5"/>
        <v xml:space="preserve"> </v>
      </c>
      <c r="T12" s="60" t="str">
        <f t="shared" ref="T12:T41" si="19">IF(S12&gt;0,S12," ")</f>
        <v xml:space="preserve"> </v>
      </c>
      <c r="U12" s="60" t="str">
        <f t="shared" ref="U12:U41" si="20">IF(S12&lt;0,S12," ")</f>
        <v xml:space="preserve"> </v>
      </c>
      <c r="W12">
        <f t="shared" ref="W12:W41" si="21">IF(H12="",0,TRUNC(H12)*60)</f>
        <v>0</v>
      </c>
      <c r="X12">
        <f t="shared" ref="X12:X41" si="22">IF(H12="",0,ROUND((H12-TRUNC(H12))*100,0)-O12)</f>
        <v>0</v>
      </c>
      <c r="Y12">
        <f t="shared" ref="Y12:Y41" si="23">IF(D12="gp",(TRUNC(I12)*60+(I12-TRUNC(I12))*100),(IF(D12="g",(TRUNC(I12)*60+(I12-TRUNC(I12))*100),W12+X12)))</f>
        <v>0</v>
      </c>
      <c r="AD12" s="158">
        <f t="shared" si="6"/>
        <v>0</v>
      </c>
      <c r="AE12" s="158">
        <f t="shared" si="7"/>
        <v>0</v>
      </c>
      <c r="AF12" s="64" t="str">
        <f t="shared" si="8"/>
        <v xml:space="preserve"> </v>
      </c>
      <c r="AG12" s="169">
        <f t="shared" si="9"/>
        <v>0</v>
      </c>
      <c r="AH12" s="169">
        <f t="shared" si="10"/>
        <v>0</v>
      </c>
      <c r="AI12" s="64" t="str">
        <f t="shared" si="11"/>
        <v xml:space="preserve"> </v>
      </c>
      <c r="AJ12" s="169" t="str">
        <f t="shared" si="12"/>
        <v/>
      </c>
      <c r="AK12" s="169" t="str">
        <f t="shared" si="13"/>
        <v/>
      </c>
      <c r="AL12" s="64" t="str">
        <f t="shared" si="14"/>
        <v xml:space="preserve"> </v>
      </c>
    </row>
    <row r="13" spans="1:38" ht="15.75" x14ac:dyDescent="0.25">
      <c r="A13" s="2">
        <f t="shared" ref="A13:A41" si="24">(A12+1)</f>
        <v>46237</v>
      </c>
      <c r="B13" s="2">
        <f t="shared" si="15"/>
        <v>84</v>
      </c>
      <c r="C13" s="54" t="str">
        <f t="shared" si="0"/>
        <v>03.8. poniedziałek</v>
      </c>
      <c r="D13" s="159"/>
      <c r="E13" s="117" t="str">
        <f t="shared" si="16"/>
        <v xml:space="preserve"> </v>
      </c>
      <c r="F13" s="115">
        <v>7</v>
      </c>
      <c r="G13" s="115">
        <v>15</v>
      </c>
      <c r="H13" s="55">
        <f t="shared" si="1"/>
        <v>8</v>
      </c>
      <c r="I13" s="55">
        <f t="shared" si="2"/>
        <v>0</v>
      </c>
      <c r="J13" s="56">
        <f t="shared" si="3"/>
        <v>0</v>
      </c>
      <c r="K13" s="57">
        <f>IF(OR((B13=83),(D13="w")),0,1)</f>
        <v>1</v>
      </c>
      <c r="L13" s="57">
        <f t="shared" si="17"/>
        <v>0</v>
      </c>
      <c r="M13" s="58" t="str">
        <f t="shared" si="4"/>
        <v>przerwa1</v>
      </c>
      <c r="N13" s="57">
        <f t="shared" si="18"/>
        <v>1</v>
      </c>
      <c r="O13" s="138"/>
      <c r="P13" s="149"/>
      <c r="Q13" s="138"/>
      <c r="R13" s="8"/>
      <c r="S13" s="60">
        <f t="shared" si="5"/>
        <v>0</v>
      </c>
      <c r="T13" s="60" t="str">
        <f t="shared" si="19"/>
        <v xml:space="preserve"> </v>
      </c>
      <c r="U13" s="60" t="str">
        <f t="shared" si="20"/>
        <v xml:space="preserve"> </v>
      </c>
      <c r="W13">
        <f t="shared" si="21"/>
        <v>480</v>
      </c>
      <c r="X13">
        <f t="shared" si="22"/>
        <v>0</v>
      </c>
      <c r="Y13">
        <f t="shared" si="23"/>
        <v>480</v>
      </c>
      <c r="AD13" s="158">
        <f>TRUNC(F13)</f>
        <v>7</v>
      </c>
      <c r="AE13" s="158">
        <f>F13-TRUNC(F13)</f>
        <v>0</v>
      </c>
      <c r="AF13" s="64">
        <f>IF(F13&lt;&gt;0,AD13+(AE13/0.6)," ")</f>
        <v>7</v>
      </c>
      <c r="AG13" s="169">
        <f>TRUNC(G13)</f>
        <v>15</v>
      </c>
      <c r="AH13" s="169">
        <f>G13-TRUNC(G13)</f>
        <v>0</v>
      </c>
      <c r="AI13" s="64">
        <f>IF(G13&lt;&gt;0,AG13+(AH13/0.6)," ")</f>
        <v>15</v>
      </c>
      <c r="AJ13" s="169">
        <f>IF(H13&lt;&gt;"",TRUNC(H13),"")</f>
        <v>8</v>
      </c>
      <c r="AK13" s="169">
        <f t="shared" si="13"/>
        <v>0</v>
      </c>
      <c r="AL13" s="64">
        <f>IF(H13&lt;&gt;"",AJ13+(AK13/0.6)," ")</f>
        <v>8</v>
      </c>
    </row>
    <row r="14" spans="1:38" ht="15.75" x14ac:dyDescent="0.25">
      <c r="A14" s="2">
        <f t="shared" si="24"/>
        <v>46238</v>
      </c>
      <c r="B14" s="2">
        <f t="shared" si="15"/>
        <v>84</v>
      </c>
      <c r="C14" s="54" t="str">
        <f t="shared" si="0"/>
        <v>04.8. wtorek</v>
      </c>
      <c r="D14" s="159"/>
      <c r="E14" s="117" t="str">
        <f t="shared" si="16"/>
        <v xml:space="preserve"> </v>
      </c>
      <c r="F14" s="115">
        <v>7</v>
      </c>
      <c r="G14" s="115">
        <v>15</v>
      </c>
      <c r="H14" s="55">
        <f t="shared" si="1"/>
        <v>8</v>
      </c>
      <c r="I14" s="55">
        <f t="shared" si="2"/>
        <v>0</v>
      </c>
      <c r="J14" s="56">
        <f t="shared" si="3"/>
        <v>0</v>
      </c>
      <c r="K14" s="57">
        <f>IF(OR((B14=83),(D14="w")),0,1)</f>
        <v>1</v>
      </c>
      <c r="L14" s="57">
        <f t="shared" si="17"/>
        <v>0</v>
      </c>
      <c r="M14" s="58" t="str">
        <f t="shared" si="4"/>
        <v>przerwa1</v>
      </c>
      <c r="N14" s="57">
        <f t="shared" si="18"/>
        <v>1</v>
      </c>
      <c r="O14" s="138"/>
      <c r="P14" s="149"/>
      <c r="Q14" s="138"/>
      <c r="R14" s="8"/>
      <c r="S14" s="60">
        <f t="shared" si="5"/>
        <v>0</v>
      </c>
      <c r="T14" s="60" t="str">
        <f t="shared" si="19"/>
        <v xml:space="preserve"> </v>
      </c>
      <c r="U14" s="60" t="str">
        <f t="shared" si="20"/>
        <v xml:space="preserve"> </v>
      </c>
      <c r="W14">
        <f t="shared" si="21"/>
        <v>480</v>
      </c>
      <c r="X14">
        <f t="shared" si="22"/>
        <v>0</v>
      </c>
      <c r="Y14">
        <f t="shared" si="23"/>
        <v>480</v>
      </c>
      <c r="AD14" s="158">
        <f t="shared" ref="AD14:AD41" si="25">TRUNC(F14)</f>
        <v>7</v>
      </c>
      <c r="AE14" s="158">
        <f t="shared" ref="AE14:AE41" si="26">F14-TRUNC(F14)</f>
        <v>0</v>
      </c>
      <c r="AF14" s="64">
        <f t="shared" ref="AF14:AF41" si="27">IF(F14&lt;&gt;0,AD14+(AE14/0.6)," ")</f>
        <v>7</v>
      </c>
      <c r="AG14" s="169">
        <f t="shared" ref="AG14:AG41" si="28">TRUNC(G14)</f>
        <v>15</v>
      </c>
      <c r="AH14" s="169">
        <f t="shared" ref="AH14:AH41" si="29">G14-TRUNC(G14)</f>
        <v>0</v>
      </c>
      <c r="AI14" s="64">
        <f t="shared" ref="AI14:AI41" si="30">IF(G14&lt;&gt;0,AG14+(AH14/0.6)," ")</f>
        <v>15</v>
      </c>
      <c r="AJ14" s="169">
        <f t="shared" ref="AJ14:AJ41" si="31">IF(H14&lt;&gt;"",TRUNC(H14),"")</f>
        <v>8</v>
      </c>
      <c r="AK14" s="169">
        <f t="shared" si="13"/>
        <v>0</v>
      </c>
      <c r="AL14" s="64">
        <f t="shared" ref="AL14:AL41" si="32">IF(H14&lt;&gt;"",AJ14+(AK14/0.6)," ")</f>
        <v>8</v>
      </c>
    </row>
    <row r="15" spans="1:38" ht="15.75" x14ac:dyDescent="0.25">
      <c r="A15" s="2">
        <f t="shared" si="24"/>
        <v>46239</v>
      </c>
      <c r="B15" s="2">
        <f t="shared" si="15"/>
        <v>84</v>
      </c>
      <c r="C15" s="54" t="str">
        <f t="shared" si="0"/>
        <v>05.8. środa</v>
      </c>
      <c r="D15" s="159"/>
      <c r="E15" s="117" t="str">
        <f t="shared" si="16"/>
        <v xml:space="preserve"> </v>
      </c>
      <c r="F15" s="115">
        <v>7</v>
      </c>
      <c r="G15" s="115">
        <v>15</v>
      </c>
      <c r="H15" s="55">
        <f t="shared" si="1"/>
        <v>8</v>
      </c>
      <c r="I15" s="55">
        <f t="shared" si="2"/>
        <v>0</v>
      </c>
      <c r="J15" s="56">
        <f t="shared" si="3"/>
        <v>0</v>
      </c>
      <c r="K15" s="57">
        <f t="shared" ref="K15:K42" si="33">IF(OR((B15=83),(D15="w")),0,1)</f>
        <v>1</v>
      </c>
      <c r="L15" s="57">
        <f t="shared" si="17"/>
        <v>0</v>
      </c>
      <c r="M15" s="58" t="str">
        <f t="shared" si="4"/>
        <v>przerwa1</v>
      </c>
      <c r="N15" s="57">
        <f t="shared" si="18"/>
        <v>1</v>
      </c>
      <c r="O15" s="138"/>
      <c r="P15" s="149"/>
      <c r="Q15" s="138"/>
      <c r="R15" s="8"/>
      <c r="S15" s="60">
        <f t="shared" si="5"/>
        <v>0</v>
      </c>
      <c r="T15" s="60" t="str">
        <f t="shared" si="19"/>
        <v xml:space="preserve"> </v>
      </c>
      <c r="U15" s="60" t="str">
        <f t="shared" si="20"/>
        <v xml:space="preserve"> </v>
      </c>
      <c r="W15">
        <f t="shared" si="21"/>
        <v>480</v>
      </c>
      <c r="X15">
        <f t="shared" si="22"/>
        <v>0</v>
      </c>
      <c r="Y15">
        <f t="shared" si="23"/>
        <v>480</v>
      </c>
      <c r="AD15" s="158">
        <f t="shared" si="25"/>
        <v>7</v>
      </c>
      <c r="AE15" s="158">
        <f t="shared" si="26"/>
        <v>0</v>
      </c>
      <c r="AF15" s="64">
        <f t="shared" si="27"/>
        <v>7</v>
      </c>
      <c r="AG15" s="169">
        <f t="shared" si="28"/>
        <v>15</v>
      </c>
      <c r="AH15" s="169">
        <f t="shared" si="29"/>
        <v>0</v>
      </c>
      <c r="AI15" s="64">
        <f t="shared" si="30"/>
        <v>15</v>
      </c>
      <c r="AJ15" s="169">
        <f t="shared" si="31"/>
        <v>8</v>
      </c>
      <c r="AK15" s="169">
        <f t="shared" ref="AK15:AK41" si="34">IF(H15&lt;&gt;"",H15-AJ15,"")</f>
        <v>0</v>
      </c>
      <c r="AL15" s="64">
        <f t="shared" si="32"/>
        <v>8</v>
      </c>
    </row>
    <row r="16" spans="1:38" ht="15.75" x14ac:dyDescent="0.25">
      <c r="A16" s="2">
        <f t="shared" si="24"/>
        <v>46240</v>
      </c>
      <c r="B16" s="2">
        <f t="shared" si="15"/>
        <v>84</v>
      </c>
      <c r="C16" s="54" t="str">
        <f t="shared" si="0"/>
        <v>06.8. czwartek</v>
      </c>
      <c r="D16" s="159"/>
      <c r="E16" s="117" t="str">
        <f t="shared" si="16"/>
        <v xml:space="preserve"> </v>
      </c>
      <c r="F16" s="115">
        <v>7</v>
      </c>
      <c r="G16" s="115">
        <v>15</v>
      </c>
      <c r="H16" s="55">
        <f t="shared" si="1"/>
        <v>8</v>
      </c>
      <c r="I16" s="55">
        <f t="shared" si="2"/>
        <v>0</v>
      </c>
      <c r="J16" s="56">
        <f t="shared" si="3"/>
        <v>0</v>
      </c>
      <c r="K16" s="57">
        <f t="shared" si="33"/>
        <v>1</v>
      </c>
      <c r="L16" s="57">
        <f t="shared" si="17"/>
        <v>0</v>
      </c>
      <c r="M16" s="58" t="str">
        <f t="shared" si="4"/>
        <v>przerwa1</v>
      </c>
      <c r="N16" s="57">
        <f t="shared" si="18"/>
        <v>1</v>
      </c>
      <c r="O16" s="138"/>
      <c r="P16" s="149"/>
      <c r="Q16" s="138"/>
      <c r="R16" s="8"/>
      <c r="S16" s="60">
        <f t="shared" si="5"/>
        <v>0</v>
      </c>
      <c r="T16" s="60" t="str">
        <f t="shared" si="19"/>
        <v xml:space="preserve"> </v>
      </c>
      <c r="U16" s="60" t="str">
        <f t="shared" si="20"/>
        <v xml:space="preserve"> </v>
      </c>
      <c r="W16">
        <f t="shared" si="21"/>
        <v>480</v>
      </c>
      <c r="X16">
        <f t="shared" si="22"/>
        <v>0</v>
      </c>
      <c r="Y16">
        <f t="shared" si="23"/>
        <v>480</v>
      </c>
      <c r="AD16" s="158">
        <f t="shared" si="25"/>
        <v>7</v>
      </c>
      <c r="AE16" s="158">
        <f t="shared" si="26"/>
        <v>0</v>
      </c>
      <c r="AF16" s="64">
        <f t="shared" si="27"/>
        <v>7</v>
      </c>
      <c r="AG16" s="169">
        <f t="shared" si="28"/>
        <v>15</v>
      </c>
      <c r="AH16" s="169">
        <f t="shared" si="29"/>
        <v>0</v>
      </c>
      <c r="AI16" s="64">
        <f t="shared" si="30"/>
        <v>15</v>
      </c>
      <c r="AJ16" s="169">
        <f t="shared" si="31"/>
        <v>8</v>
      </c>
      <c r="AK16" s="169">
        <f t="shared" si="34"/>
        <v>0</v>
      </c>
      <c r="AL16" s="64">
        <f t="shared" si="32"/>
        <v>8</v>
      </c>
    </row>
    <row r="17" spans="1:38" ht="15.75" x14ac:dyDescent="0.25">
      <c r="A17" s="2">
        <f t="shared" si="24"/>
        <v>46241</v>
      </c>
      <c r="B17" s="2">
        <f t="shared" si="15"/>
        <v>84</v>
      </c>
      <c r="C17" s="54" t="str">
        <f t="shared" si="0"/>
        <v>07.8. piątek</v>
      </c>
      <c r="D17" s="159"/>
      <c r="E17" s="117" t="str">
        <f t="shared" si="16"/>
        <v xml:space="preserve"> </v>
      </c>
      <c r="F17" s="115">
        <v>7</v>
      </c>
      <c r="G17" s="115">
        <v>15</v>
      </c>
      <c r="H17" s="55">
        <f t="shared" si="1"/>
        <v>8</v>
      </c>
      <c r="I17" s="55">
        <f t="shared" si="2"/>
        <v>0</v>
      </c>
      <c r="J17" s="56">
        <f t="shared" si="3"/>
        <v>0</v>
      </c>
      <c r="K17" s="57">
        <f t="shared" si="33"/>
        <v>1</v>
      </c>
      <c r="L17" s="57">
        <f t="shared" si="17"/>
        <v>0</v>
      </c>
      <c r="M17" s="58" t="str">
        <f t="shared" si="4"/>
        <v>przerwa1</v>
      </c>
      <c r="N17" s="57">
        <f t="shared" si="18"/>
        <v>1</v>
      </c>
      <c r="O17" s="138"/>
      <c r="P17" s="149"/>
      <c r="Q17" s="138"/>
      <c r="R17" s="8"/>
      <c r="S17" s="60">
        <f t="shared" si="5"/>
        <v>0</v>
      </c>
      <c r="T17" s="60" t="str">
        <f t="shared" si="19"/>
        <v xml:space="preserve"> </v>
      </c>
      <c r="U17" s="60" t="str">
        <f t="shared" si="20"/>
        <v xml:space="preserve"> </v>
      </c>
      <c r="W17">
        <f t="shared" si="21"/>
        <v>480</v>
      </c>
      <c r="X17">
        <f t="shared" si="22"/>
        <v>0</v>
      </c>
      <c r="Y17">
        <f t="shared" si="23"/>
        <v>480</v>
      </c>
      <c r="AD17" s="158">
        <f t="shared" si="25"/>
        <v>7</v>
      </c>
      <c r="AE17" s="158">
        <f t="shared" si="26"/>
        <v>0</v>
      </c>
      <c r="AF17" s="64">
        <f t="shared" si="27"/>
        <v>7</v>
      </c>
      <c r="AG17" s="169">
        <f t="shared" si="28"/>
        <v>15</v>
      </c>
      <c r="AH17" s="169">
        <f t="shared" si="29"/>
        <v>0</v>
      </c>
      <c r="AI17" s="64">
        <f t="shared" si="30"/>
        <v>15</v>
      </c>
      <c r="AJ17" s="169">
        <f t="shared" si="31"/>
        <v>8</v>
      </c>
      <c r="AK17" s="169">
        <f t="shared" si="34"/>
        <v>0</v>
      </c>
      <c r="AL17" s="64">
        <f t="shared" si="32"/>
        <v>8</v>
      </c>
    </row>
    <row r="18" spans="1:38" ht="15.75" x14ac:dyDescent="0.25">
      <c r="A18" s="2">
        <f t="shared" si="24"/>
        <v>46242</v>
      </c>
      <c r="B18" s="2">
        <f t="shared" si="15"/>
        <v>84</v>
      </c>
      <c r="C18" s="54" t="str">
        <f t="shared" si="0"/>
        <v>08.8. sobota</v>
      </c>
      <c r="D18" s="159" t="s">
        <v>47</v>
      </c>
      <c r="E18" s="117" t="str">
        <f t="shared" si="16"/>
        <v>wolne</v>
      </c>
      <c r="F18" s="115"/>
      <c r="G18" s="115"/>
      <c r="H18" s="55" t="str">
        <f t="shared" si="1"/>
        <v/>
      </c>
      <c r="I18" s="55" t="str">
        <f t="shared" si="2"/>
        <v/>
      </c>
      <c r="J18" s="56" t="str">
        <f t="shared" si="3"/>
        <v/>
      </c>
      <c r="K18" s="57">
        <f t="shared" si="33"/>
        <v>0</v>
      </c>
      <c r="L18" s="57">
        <f t="shared" si="17"/>
        <v>0</v>
      </c>
      <c r="M18" s="58" t="str">
        <f t="shared" si="4"/>
        <v>przerwa1</v>
      </c>
      <c r="N18" s="57">
        <f t="shared" si="18"/>
        <v>0</v>
      </c>
      <c r="O18" s="138"/>
      <c r="P18" s="149"/>
      <c r="Q18" s="138"/>
      <c r="R18" s="8"/>
      <c r="S18" s="60" t="str">
        <f t="shared" si="5"/>
        <v xml:space="preserve"> </v>
      </c>
      <c r="T18" s="60" t="str">
        <f t="shared" si="19"/>
        <v xml:space="preserve"> </v>
      </c>
      <c r="U18" s="60" t="str">
        <f t="shared" si="20"/>
        <v xml:space="preserve"> </v>
      </c>
      <c r="W18">
        <f t="shared" si="21"/>
        <v>0</v>
      </c>
      <c r="X18">
        <f t="shared" si="22"/>
        <v>0</v>
      </c>
      <c r="Y18">
        <f t="shared" si="23"/>
        <v>0</v>
      </c>
      <c r="AD18" s="158">
        <f t="shared" si="25"/>
        <v>0</v>
      </c>
      <c r="AE18" s="158">
        <f t="shared" si="26"/>
        <v>0</v>
      </c>
      <c r="AF18" s="64" t="str">
        <f t="shared" si="27"/>
        <v xml:space="preserve"> </v>
      </c>
      <c r="AG18" s="169">
        <f t="shared" si="28"/>
        <v>0</v>
      </c>
      <c r="AH18" s="169">
        <f t="shared" si="29"/>
        <v>0</v>
      </c>
      <c r="AI18" s="64" t="str">
        <f t="shared" si="30"/>
        <v xml:space="preserve"> </v>
      </c>
      <c r="AJ18" s="169" t="str">
        <f t="shared" si="31"/>
        <v/>
      </c>
      <c r="AK18" s="169" t="str">
        <f t="shared" si="34"/>
        <v/>
      </c>
      <c r="AL18" s="64" t="str">
        <f t="shared" si="32"/>
        <v xml:space="preserve"> </v>
      </c>
    </row>
    <row r="19" spans="1:38" ht="15.75" x14ac:dyDescent="0.25">
      <c r="A19" s="2">
        <f t="shared" si="24"/>
        <v>46243</v>
      </c>
      <c r="B19" s="2">
        <f t="shared" si="15"/>
        <v>84</v>
      </c>
      <c r="C19" s="54" t="str">
        <f t="shared" si="0"/>
        <v>09.8. niedziela</v>
      </c>
      <c r="D19" s="159" t="s">
        <v>47</v>
      </c>
      <c r="E19" s="117" t="str">
        <f t="shared" si="16"/>
        <v>wolne</v>
      </c>
      <c r="F19" s="115"/>
      <c r="G19" s="115"/>
      <c r="H19" s="55" t="str">
        <f t="shared" si="1"/>
        <v/>
      </c>
      <c r="I19" s="55" t="str">
        <f t="shared" si="2"/>
        <v/>
      </c>
      <c r="J19" s="56" t="str">
        <f t="shared" si="3"/>
        <v/>
      </c>
      <c r="K19" s="57">
        <f t="shared" si="33"/>
        <v>0</v>
      </c>
      <c r="L19" s="57">
        <f t="shared" si="17"/>
        <v>0</v>
      </c>
      <c r="M19" s="58" t="str">
        <f t="shared" si="4"/>
        <v>przerwa1</v>
      </c>
      <c r="N19" s="57">
        <f t="shared" si="18"/>
        <v>0</v>
      </c>
      <c r="O19" s="138"/>
      <c r="P19" s="149"/>
      <c r="Q19" s="138"/>
      <c r="R19" s="8"/>
      <c r="S19" s="60" t="str">
        <f t="shared" si="5"/>
        <v xml:space="preserve"> </v>
      </c>
      <c r="T19" s="60" t="str">
        <f t="shared" si="19"/>
        <v xml:space="preserve"> </v>
      </c>
      <c r="U19" s="60" t="str">
        <f t="shared" si="20"/>
        <v xml:space="preserve"> </v>
      </c>
      <c r="W19">
        <f t="shared" si="21"/>
        <v>0</v>
      </c>
      <c r="X19">
        <f t="shared" si="22"/>
        <v>0</v>
      </c>
      <c r="Y19">
        <f t="shared" si="23"/>
        <v>0</v>
      </c>
      <c r="AD19" s="158">
        <f t="shared" si="25"/>
        <v>0</v>
      </c>
      <c r="AE19" s="158">
        <f t="shared" si="26"/>
        <v>0</v>
      </c>
      <c r="AF19" s="64" t="str">
        <f t="shared" si="27"/>
        <v xml:space="preserve"> </v>
      </c>
      <c r="AG19" s="169">
        <f t="shared" si="28"/>
        <v>0</v>
      </c>
      <c r="AH19" s="169">
        <f t="shared" si="29"/>
        <v>0</v>
      </c>
      <c r="AI19" s="64" t="str">
        <f t="shared" si="30"/>
        <v xml:space="preserve"> </v>
      </c>
      <c r="AJ19" s="169" t="str">
        <f t="shared" si="31"/>
        <v/>
      </c>
      <c r="AK19" s="169" t="str">
        <f t="shared" si="34"/>
        <v/>
      </c>
      <c r="AL19" s="64" t="str">
        <f t="shared" si="32"/>
        <v xml:space="preserve"> </v>
      </c>
    </row>
    <row r="20" spans="1:38" ht="15.75" x14ac:dyDescent="0.25">
      <c r="A20" s="2">
        <f t="shared" si="24"/>
        <v>46244</v>
      </c>
      <c r="B20" s="2">
        <f t="shared" si="15"/>
        <v>84</v>
      </c>
      <c r="C20" s="54" t="str">
        <f t="shared" si="0"/>
        <v>10.8. poniedziałek</v>
      </c>
      <c r="D20" s="159"/>
      <c r="E20" s="117" t="str">
        <f t="shared" si="16"/>
        <v xml:space="preserve"> </v>
      </c>
      <c r="F20" s="115">
        <v>7</v>
      </c>
      <c r="G20" s="115">
        <v>15</v>
      </c>
      <c r="H20" s="55">
        <f t="shared" si="1"/>
        <v>8</v>
      </c>
      <c r="I20" s="55">
        <f t="shared" si="2"/>
        <v>0</v>
      </c>
      <c r="J20" s="56">
        <f t="shared" si="3"/>
        <v>0</v>
      </c>
      <c r="K20" s="57">
        <f t="shared" si="33"/>
        <v>1</v>
      </c>
      <c r="L20" s="57">
        <f t="shared" si="17"/>
        <v>0</v>
      </c>
      <c r="M20" s="58" t="str">
        <f t="shared" si="4"/>
        <v>przerwa1</v>
      </c>
      <c r="N20" s="57">
        <f t="shared" si="18"/>
        <v>1</v>
      </c>
      <c r="O20" s="138"/>
      <c r="P20" s="149"/>
      <c r="Q20" s="138"/>
      <c r="R20" s="8"/>
      <c r="S20" s="60">
        <f t="shared" si="5"/>
        <v>0</v>
      </c>
      <c r="T20" s="60" t="str">
        <f t="shared" si="19"/>
        <v xml:space="preserve"> </v>
      </c>
      <c r="U20" s="60" t="str">
        <f t="shared" si="20"/>
        <v xml:space="preserve"> </v>
      </c>
      <c r="W20">
        <f t="shared" si="21"/>
        <v>480</v>
      </c>
      <c r="X20">
        <f t="shared" si="22"/>
        <v>0</v>
      </c>
      <c r="Y20">
        <f t="shared" si="23"/>
        <v>480</v>
      </c>
      <c r="AD20" s="158">
        <f t="shared" si="25"/>
        <v>7</v>
      </c>
      <c r="AE20" s="158">
        <f t="shared" si="26"/>
        <v>0</v>
      </c>
      <c r="AF20" s="64">
        <f t="shared" si="27"/>
        <v>7</v>
      </c>
      <c r="AG20" s="169">
        <f t="shared" si="28"/>
        <v>15</v>
      </c>
      <c r="AH20" s="169">
        <f t="shared" si="29"/>
        <v>0</v>
      </c>
      <c r="AI20" s="64">
        <f t="shared" si="30"/>
        <v>15</v>
      </c>
      <c r="AJ20" s="169">
        <f t="shared" si="31"/>
        <v>8</v>
      </c>
      <c r="AK20" s="169">
        <f>IF(H20&lt;&gt;"",H20-AJ20,"")</f>
        <v>0</v>
      </c>
      <c r="AL20" s="64">
        <f t="shared" si="32"/>
        <v>8</v>
      </c>
    </row>
    <row r="21" spans="1:38" ht="15.75" x14ac:dyDescent="0.25">
      <c r="A21" s="2">
        <f t="shared" si="24"/>
        <v>46245</v>
      </c>
      <c r="B21" s="2">
        <f t="shared" si="15"/>
        <v>84</v>
      </c>
      <c r="C21" s="54" t="str">
        <f t="shared" si="0"/>
        <v>11.8. wtorek</v>
      </c>
      <c r="D21" s="159"/>
      <c r="E21" s="117" t="str">
        <f t="shared" si="16"/>
        <v xml:space="preserve"> </v>
      </c>
      <c r="F21" s="115">
        <v>7</v>
      </c>
      <c r="G21" s="115">
        <v>15</v>
      </c>
      <c r="H21" s="55">
        <f t="shared" si="1"/>
        <v>8</v>
      </c>
      <c r="I21" s="55">
        <f t="shared" si="2"/>
        <v>0</v>
      </c>
      <c r="J21" s="56">
        <f t="shared" si="3"/>
        <v>0</v>
      </c>
      <c r="K21" s="57">
        <f t="shared" si="33"/>
        <v>1</v>
      </c>
      <c r="L21" s="57">
        <f t="shared" si="17"/>
        <v>0</v>
      </c>
      <c r="M21" s="58" t="str">
        <f t="shared" si="4"/>
        <v>przerwa1</v>
      </c>
      <c r="N21" s="57">
        <f t="shared" si="18"/>
        <v>1</v>
      </c>
      <c r="O21" s="138"/>
      <c r="P21" s="149"/>
      <c r="Q21" s="138"/>
      <c r="R21" s="8"/>
      <c r="S21" s="60">
        <f t="shared" si="5"/>
        <v>0</v>
      </c>
      <c r="T21" s="60" t="str">
        <f t="shared" si="19"/>
        <v xml:space="preserve"> </v>
      </c>
      <c r="U21" s="60" t="str">
        <f t="shared" si="20"/>
        <v xml:space="preserve"> </v>
      </c>
      <c r="W21">
        <f t="shared" si="21"/>
        <v>480</v>
      </c>
      <c r="X21">
        <f t="shared" si="22"/>
        <v>0</v>
      </c>
      <c r="Y21">
        <f t="shared" si="23"/>
        <v>480</v>
      </c>
      <c r="AD21" s="158">
        <f t="shared" si="25"/>
        <v>7</v>
      </c>
      <c r="AE21" s="158">
        <f t="shared" si="26"/>
        <v>0</v>
      </c>
      <c r="AF21" s="64">
        <f t="shared" si="27"/>
        <v>7</v>
      </c>
      <c r="AG21" s="169">
        <f t="shared" si="28"/>
        <v>15</v>
      </c>
      <c r="AH21" s="169">
        <f t="shared" si="29"/>
        <v>0</v>
      </c>
      <c r="AI21" s="64">
        <f t="shared" si="30"/>
        <v>15</v>
      </c>
      <c r="AJ21" s="169">
        <f t="shared" si="31"/>
        <v>8</v>
      </c>
      <c r="AK21" s="169">
        <f t="shared" si="34"/>
        <v>0</v>
      </c>
      <c r="AL21" s="64">
        <f t="shared" si="32"/>
        <v>8</v>
      </c>
    </row>
    <row r="22" spans="1:38" ht="15.75" x14ac:dyDescent="0.25">
      <c r="A22" s="2">
        <f t="shared" si="24"/>
        <v>46246</v>
      </c>
      <c r="B22" s="2">
        <f t="shared" si="15"/>
        <v>84</v>
      </c>
      <c r="C22" s="54" t="str">
        <f t="shared" si="0"/>
        <v>12.8. środa</v>
      </c>
      <c r="D22" s="159"/>
      <c r="E22" s="117" t="str">
        <f t="shared" si="16"/>
        <v xml:space="preserve"> </v>
      </c>
      <c r="F22" s="115">
        <v>7</v>
      </c>
      <c r="G22" s="115">
        <v>15</v>
      </c>
      <c r="H22" s="55">
        <f t="shared" si="1"/>
        <v>8</v>
      </c>
      <c r="I22" s="55">
        <f t="shared" si="2"/>
        <v>0</v>
      </c>
      <c r="J22" s="56">
        <f t="shared" si="3"/>
        <v>0</v>
      </c>
      <c r="K22" s="57">
        <f t="shared" si="33"/>
        <v>1</v>
      </c>
      <c r="L22" s="57">
        <f t="shared" si="17"/>
        <v>0</v>
      </c>
      <c r="M22" s="58" t="str">
        <f t="shared" si="4"/>
        <v>przerwa1</v>
      </c>
      <c r="N22" s="57">
        <f t="shared" si="18"/>
        <v>1</v>
      </c>
      <c r="O22" s="138"/>
      <c r="P22" s="149"/>
      <c r="Q22" s="138"/>
      <c r="R22" s="8"/>
      <c r="S22" s="60">
        <f t="shared" si="5"/>
        <v>0</v>
      </c>
      <c r="T22" s="60" t="str">
        <f t="shared" si="19"/>
        <v xml:space="preserve"> </v>
      </c>
      <c r="U22" s="60" t="str">
        <f t="shared" si="20"/>
        <v xml:space="preserve"> </v>
      </c>
      <c r="W22">
        <f t="shared" si="21"/>
        <v>480</v>
      </c>
      <c r="X22">
        <f t="shared" si="22"/>
        <v>0</v>
      </c>
      <c r="Y22">
        <f t="shared" si="23"/>
        <v>480</v>
      </c>
      <c r="AD22" s="158">
        <f t="shared" si="25"/>
        <v>7</v>
      </c>
      <c r="AE22" s="158">
        <f t="shared" si="26"/>
        <v>0</v>
      </c>
      <c r="AF22" s="64">
        <f t="shared" si="27"/>
        <v>7</v>
      </c>
      <c r="AG22" s="169">
        <f t="shared" si="28"/>
        <v>15</v>
      </c>
      <c r="AH22" s="169">
        <f t="shared" si="29"/>
        <v>0</v>
      </c>
      <c r="AI22" s="64">
        <f t="shared" si="30"/>
        <v>15</v>
      </c>
      <c r="AJ22" s="169">
        <f t="shared" si="31"/>
        <v>8</v>
      </c>
      <c r="AK22" s="169">
        <f t="shared" si="34"/>
        <v>0</v>
      </c>
      <c r="AL22" s="64">
        <f t="shared" si="32"/>
        <v>8</v>
      </c>
    </row>
    <row r="23" spans="1:38" ht="15.75" x14ac:dyDescent="0.25">
      <c r="A23" s="2">
        <f t="shared" si="24"/>
        <v>46247</v>
      </c>
      <c r="B23" s="2">
        <f t="shared" si="15"/>
        <v>84</v>
      </c>
      <c r="C23" s="54" t="str">
        <f t="shared" si="0"/>
        <v>13.8. czwartek</v>
      </c>
      <c r="D23" s="159"/>
      <c r="E23" s="117" t="str">
        <f t="shared" si="16"/>
        <v xml:space="preserve"> </v>
      </c>
      <c r="F23" s="115">
        <v>7</v>
      </c>
      <c r="G23" s="115">
        <v>15</v>
      </c>
      <c r="H23" s="55">
        <f t="shared" si="1"/>
        <v>8</v>
      </c>
      <c r="I23" s="55">
        <f t="shared" si="2"/>
        <v>0</v>
      </c>
      <c r="J23" s="56">
        <f t="shared" si="3"/>
        <v>0</v>
      </c>
      <c r="K23" s="57">
        <f t="shared" si="33"/>
        <v>1</v>
      </c>
      <c r="L23" s="57">
        <f t="shared" si="17"/>
        <v>0</v>
      </c>
      <c r="M23" s="58" t="str">
        <f t="shared" si="4"/>
        <v>przerwa1</v>
      </c>
      <c r="N23" s="57">
        <f t="shared" si="18"/>
        <v>1</v>
      </c>
      <c r="O23" s="138"/>
      <c r="P23" s="149"/>
      <c r="Q23" s="138"/>
      <c r="R23" s="8"/>
      <c r="S23" s="60">
        <f t="shared" si="5"/>
        <v>0</v>
      </c>
      <c r="T23" s="60" t="str">
        <f t="shared" si="19"/>
        <v xml:space="preserve"> </v>
      </c>
      <c r="U23" s="60" t="str">
        <f t="shared" si="20"/>
        <v xml:space="preserve"> </v>
      </c>
      <c r="W23">
        <f t="shared" si="21"/>
        <v>480</v>
      </c>
      <c r="X23">
        <f t="shared" si="22"/>
        <v>0</v>
      </c>
      <c r="Y23">
        <f t="shared" si="23"/>
        <v>480</v>
      </c>
      <c r="AD23" s="158">
        <f t="shared" si="25"/>
        <v>7</v>
      </c>
      <c r="AE23" s="158">
        <f t="shared" si="26"/>
        <v>0</v>
      </c>
      <c r="AF23" s="64">
        <f t="shared" si="27"/>
        <v>7</v>
      </c>
      <c r="AG23" s="169">
        <f t="shared" si="28"/>
        <v>15</v>
      </c>
      <c r="AH23" s="169">
        <f t="shared" si="29"/>
        <v>0</v>
      </c>
      <c r="AI23" s="64">
        <f t="shared" si="30"/>
        <v>15</v>
      </c>
      <c r="AJ23" s="169">
        <f t="shared" si="31"/>
        <v>8</v>
      </c>
      <c r="AK23" s="169">
        <f t="shared" si="34"/>
        <v>0</v>
      </c>
      <c r="AL23" s="64">
        <f t="shared" si="32"/>
        <v>8</v>
      </c>
    </row>
    <row r="24" spans="1:38" ht="15.75" x14ac:dyDescent="0.25">
      <c r="A24" s="2">
        <f t="shared" si="24"/>
        <v>46248</v>
      </c>
      <c r="B24" s="2">
        <f t="shared" si="15"/>
        <v>84</v>
      </c>
      <c r="C24" s="54" t="str">
        <f t="shared" si="0"/>
        <v>14.8. piątek</v>
      </c>
      <c r="D24" s="159"/>
      <c r="E24" s="117" t="str">
        <f t="shared" si="16"/>
        <v xml:space="preserve"> </v>
      </c>
      <c r="F24" s="115">
        <v>7</v>
      </c>
      <c r="G24" s="115">
        <v>15</v>
      </c>
      <c r="H24" s="55">
        <f t="shared" si="1"/>
        <v>8</v>
      </c>
      <c r="I24" s="55">
        <f t="shared" si="2"/>
        <v>0</v>
      </c>
      <c r="J24" s="56">
        <f t="shared" si="3"/>
        <v>0</v>
      </c>
      <c r="K24" s="57">
        <f t="shared" si="33"/>
        <v>1</v>
      </c>
      <c r="L24" s="57">
        <f t="shared" si="17"/>
        <v>0</v>
      </c>
      <c r="M24" s="58" t="str">
        <f t="shared" si="4"/>
        <v>przerwa1</v>
      </c>
      <c r="N24" s="57">
        <f t="shared" si="18"/>
        <v>1</v>
      </c>
      <c r="O24" s="138"/>
      <c r="P24" s="149"/>
      <c r="Q24" s="138"/>
      <c r="R24" s="8"/>
      <c r="S24" s="60">
        <f t="shared" si="5"/>
        <v>0</v>
      </c>
      <c r="T24" s="60" t="str">
        <f t="shared" si="19"/>
        <v xml:space="preserve"> </v>
      </c>
      <c r="U24" s="60" t="str">
        <f t="shared" si="20"/>
        <v xml:space="preserve"> </v>
      </c>
      <c r="W24">
        <f t="shared" si="21"/>
        <v>480</v>
      </c>
      <c r="X24">
        <f t="shared" si="22"/>
        <v>0</v>
      </c>
      <c r="Y24">
        <f t="shared" si="23"/>
        <v>480</v>
      </c>
      <c r="AD24" s="158">
        <f t="shared" si="25"/>
        <v>7</v>
      </c>
      <c r="AE24" s="158">
        <f t="shared" si="26"/>
        <v>0</v>
      </c>
      <c r="AF24" s="64">
        <f t="shared" si="27"/>
        <v>7</v>
      </c>
      <c r="AG24" s="169">
        <f t="shared" si="28"/>
        <v>15</v>
      </c>
      <c r="AH24" s="169">
        <f t="shared" si="29"/>
        <v>0</v>
      </c>
      <c r="AI24" s="64">
        <f t="shared" si="30"/>
        <v>15</v>
      </c>
      <c r="AJ24" s="169">
        <f t="shared" si="31"/>
        <v>8</v>
      </c>
      <c r="AK24" s="169">
        <f t="shared" si="34"/>
        <v>0</v>
      </c>
      <c r="AL24" s="64">
        <f t="shared" si="32"/>
        <v>8</v>
      </c>
    </row>
    <row r="25" spans="1:38" ht="15.75" x14ac:dyDescent="0.25">
      <c r="A25" s="2">
        <f t="shared" si="24"/>
        <v>46249</v>
      </c>
      <c r="B25" s="2">
        <f t="shared" si="15"/>
        <v>84</v>
      </c>
      <c r="C25" s="54" t="str">
        <f t="shared" si="0"/>
        <v>15.8. sobota</v>
      </c>
      <c r="D25" s="159" t="s">
        <v>47</v>
      </c>
      <c r="E25" s="117" t="str">
        <f t="shared" si="16"/>
        <v>wolne</v>
      </c>
      <c r="F25" s="115"/>
      <c r="G25" s="115"/>
      <c r="H25" s="55" t="str">
        <f t="shared" si="1"/>
        <v/>
      </c>
      <c r="I25" s="55" t="str">
        <f t="shared" si="2"/>
        <v/>
      </c>
      <c r="J25" s="56" t="str">
        <f t="shared" si="3"/>
        <v/>
      </c>
      <c r="K25" s="57">
        <f t="shared" si="33"/>
        <v>0</v>
      </c>
      <c r="L25" s="57">
        <f t="shared" si="17"/>
        <v>0</v>
      </c>
      <c r="M25" s="58" t="str">
        <f t="shared" si="4"/>
        <v>przerwa1</v>
      </c>
      <c r="N25" s="57">
        <f t="shared" si="18"/>
        <v>0</v>
      </c>
      <c r="O25" s="138"/>
      <c r="P25" s="149"/>
      <c r="Q25" s="138"/>
      <c r="R25" s="8"/>
      <c r="S25" s="60" t="str">
        <f t="shared" si="5"/>
        <v xml:space="preserve"> </v>
      </c>
      <c r="T25" s="60" t="str">
        <f t="shared" si="19"/>
        <v xml:space="preserve"> </v>
      </c>
      <c r="U25" s="60" t="str">
        <f t="shared" si="20"/>
        <v xml:space="preserve"> </v>
      </c>
      <c r="W25">
        <f t="shared" si="21"/>
        <v>0</v>
      </c>
      <c r="X25">
        <f t="shared" si="22"/>
        <v>0</v>
      </c>
      <c r="Y25">
        <f t="shared" si="23"/>
        <v>0</v>
      </c>
      <c r="AD25" s="158">
        <f t="shared" si="25"/>
        <v>0</v>
      </c>
      <c r="AE25" s="158">
        <f t="shared" si="26"/>
        <v>0</v>
      </c>
      <c r="AF25" s="64" t="str">
        <f t="shared" si="27"/>
        <v xml:space="preserve"> </v>
      </c>
      <c r="AG25" s="169">
        <f t="shared" si="28"/>
        <v>0</v>
      </c>
      <c r="AH25" s="169">
        <f t="shared" si="29"/>
        <v>0</v>
      </c>
      <c r="AI25" s="64" t="str">
        <f t="shared" si="30"/>
        <v xml:space="preserve"> </v>
      </c>
      <c r="AJ25" s="169" t="str">
        <f t="shared" si="31"/>
        <v/>
      </c>
      <c r="AK25" s="169" t="str">
        <f t="shared" si="34"/>
        <v/>
      </c>
      <c r="AL25" s="64" t="str">
        <f t="shared" si="32"/>
        <v xml:space="preserve"> </v>
      </c>
    </row>
    <row r="26" spans="1:38" ht="15.75" x14ac:dyDescent="0.25">
      <c r="A26" s="2">
        <f t="shared" si="24"/>
        <v>46250</v>
      </c>
      <c r="B26" s="2">
        <f t="shared" si="15"/>
        <v>84</v>
      </c>
      <c r="C26" s="54" t="str">
        <f t="shared" si="0"/>
        <v>16.8. niedziela</v>
      </c>
      <c r="D26" s="159" t="s">
        <v>47</v>
      </c>
      <c r="E26" s="117" t="str">
        <f t="shared" si="16"/>
        <v>wolne</v>
      </c>
      <c r="F26" s="115"/>
      <c r="G26" s="115"/>
      <c r="H26" s="55" t="str">
        <f t="shared" si="1"/>
        <v/>
      </c>
      <c r="I26" s="55" t="str">
        <f t="shared" si="2"/>
        <v/>
      </c>
      <c r="J26" s="56" t="str">
        <f t="shared" si="3"/>
        <v/>
      </c>
      <c r="K26" s="57">
        <f t="shared" si="33"/>
        <v>0</v>
      </c>
      <c r="L26" s="57">
        <f t="shared" si="17"/>
        <v>0</v>
      </c>
      <c r="M26" s="58" t="str">
        <f t="shared" si="4"/>
        <v>przerwa1</v>
      </c>
      <c r="N26" s="57">
        <f t="shared" si="18"/>
        <v>0</v>
      </c>
      <c r="O26" s="138"/>
      <c r="P26" s="149"/>
      <c r="Q26" s="138"/>
      <c r="R26" s="8"/>
      <c r="S26" s="60" t="str">
        <f t="shared" si="5"/>
        <v xml:space="preserve"> </v>
      </c>
      <c r="T26" s="60" t="str">
        <f t="shared" si="19"/>
        <v xml:space="preserve"> </v>
      </c>
      <c r="U26" s="60" t="str">
        <f t="shared" si="20"/>
        <v xml:space="preserve"> </v>
      </c>
      <c r="W26">
        <f t="shared" si="21"/>
        <v>0</v>
      </c>
      <c r="X26">
        <f t="shared" si="22"/>
        <v>0</v>
      </c>
      <c r="Y26">
        <f t="shared" si="23"/>
        <v>0</v>
      </c>
      <c r="AD26" s="158">
        <f t="shared" si="25"/>
        <v>0</v>
      </c>
      <c r="AE26" s="158">
        <f t="shared" si="26"/>
        <v>0</v>
      </c>
      <c r="AF26" s="64" t="str">
        <f t="shared" si="27"/>
        <v xml:space="preserve"> </v>
      </c>
      <c r="AG26" s="169">
        <f t="shared" si="28"/>
        <v>0</v>
      </c>
      <c r="AH26" s="169">
        <f t="shared" si="29"/>
        <v>0</v>
      </c>
      <c r="AI26" s="64" t="str">
        <f t="shared" si="30"/>
        <v xml:space="preserve"> </v>
      </c>
      <c r="AJ26" s="169" t="str">
        <f t="shared" si="31"/>
        <v/>
      </c>
      <c r="AK26" s="169" t="str">
        <f t="shared" si="34"/>
        <v/>
      </c>
      <c r="AL26" s="64" t="str">
        <f t="shared" si="32"/>
        <v xml:space="preserve"> </v>
      </c>
    </row>
    <row r="27" spans="1:38" ht="15.75" x14ac:dyDescent="0.25">
      <c r="A27" s="2">
        <f t="shared" si="24"/>
        <v>46251</v>
      </c>
      <c r="B27" s="2">
        <f t="shared" si="15"/>
        <v>84</v>
      </c>
      <c r="C27" s="54" t="str">
        <f t="shared" si="0"/>
        <v>17.8. poniedziałek</v>
      </c>
      <c r="D27" s="159"/>
      <c r="E27" s="117" t="str">
        <f t="shared" si="16"/>
        <v xml:space="preserve"> </v>
      </c>
      <c r="F27" s="115">
        <v>7</v>
      </c>
      <c r="G27" s="115">
        <v>15</v>
      </c>
      <c r="H27" s="55">
        <f t="shared" si="1"/>
        <v>8</v>
      </c>
      <c r="I27" s="55">
        <f t="shared" si="2"/>
        <v>0</v>
      </c>
      <c r="J27" s="56">
        <f t="shared" si="3"/>
        <v>0</v>
      </c>
      <c r="K27" s="57">
        <f t="shared" si="33"/>
        <v>1</v>
      </c>
      <c r="L27" s="57">
        <f t="shared" si="17"/>
        <v>0</v>
      </c>
      <c r="M27" s="58" t="str">
        <f t="shared" si="4"/>
        <v>przerwa1</v>
      </c>
      <c r="N27" s="57">
        <f t="shared" si="18"/>
        <v>1</v>
      </c>
      <c r="O27" s="138"/>
      <c r="P27" s="149"/>
      <c r="Q27" s="138"/>
      <c r="R27" s="8"/>
      <c r="S27" s="60">
        <f t="shared" si="5"/>
        <v>0</v>
      </c>
      <c r="T27" s="60" t="str">
        <f t="shared" si="19"/>
        <v xml:space="preserve"> </v>
      </c>
      <c r="U27" s="60" t="str">
        <f t="shared" si="20"/>
        <v xml:space="preserve"> </v>
      </c>
      <c r="W27">
        <f t="shared" si="21"/>
        <v>480</v>
      </c>
      <c r="X27">
        <f t="shared" si="22"/>
        <v>0</v>
      </c>
      <c r="Y27">
        <f t="shared" si="23"/>
        <v>480</v>
      </c>
      <c r="AD27" s="158">
        <f t="shared" si="25"/>
        <v>7</v>
      </c>
      <c r="AE27" s="158">
        <f t="shared" si="26"/>
        <v>0</v>
      </c>
      <c r="AF27" s="64">
        <f t="shared" si="27"/>
        <v>7</v>
      </c>
      <c r="AG27" s="169">
        <f t="shared" si="28"/>
        <v>15</v>
      </c>
      <c r="AH27" s="169">
        <f t="shared" si="29"/>
        <v>0</v>
      </c>
      <c r="AI27" s="64">
        <f t="shared" si="30"/>
        <v>15</v>
      </c>
      <c r="AJ27" s="169">
        <f t="shared" si="31"/>
        <v>8</v>
      </c>
      <c r="AK27" s="169">
        <f t="shared" si="34"/>
        <v>0</v>
      </c>
      <c r="AL27" s="64">
        <f t="shared" si="32"/>
        <v>8</v>
      </c>
    </row>
    <row r="28" spans="1:38" ht="15.75" x14ac:dyDescent="0.25">
      <c r="A28" s="2">
        <f t="shared" si="24"/>
        <v>46252</v>
      </c>
      <c r="B28" s="2">
        <f t="shared" si="15"/>
        <v>84</v>
      </c>
      <c r="C28" s="54" t="str">
        <f t="shared" si="0"/>
        <v>18.8. wtorek</v>
      </c>
      <c r="D28" s="159"/>
      <c r="E28" s="117" t="str">
        <f t="shared" si="16"/>
        <v xml:space="preserve"> </v>
      </c>
      <c r="F28" s="115">
        <v>7</v>
      </c>
      <c r="G28" s="115">
        <v>15</v>
      </c>
      <c r="H28" s="55">
        <f t="shared" si="1"/>
        <v>8</v>
      </c>
      <c r="I28" s="55">
        <f t="shared" si="2"/>
        <v>0</v>
      </c>
      <c r="J28" s="56">
        <f t="shared" si="3"/>
        <v>0</v>
      </c>
      <c r="K28" s="57">
        <f t="shared" si="33"/>
        <v>1</v>
      </c>
      <c r="L28" s="57">
        <f t="shared" si="17"/>
        <v>0</v>
      </c>
      <c r="M28" s="58" t="str">
        <f t="shared" si="4"/>
        <v>przerwa1</v>
      </c>
      <c r="N28" s="57">
        <f t="shared" si="18"/>
        <v>1</v>
      </c>
      <c r="O28" s="138"/>
      <c r="P28" s="149"/>
      <c r="Q28" s="138"/>
      <c r="R28" s="8"/>
      <c r="S28" s="60">
        <f t="shared" si="5"/>
        <v>0</v>
      </c>
      <c r="T28" s="60" t="str">
        <f t="shared" si="19"/>
        <v xml:space="preserve"> </v>
      </c>
      <c r="U28" s="60" t="str">
        <f t="shared" si="20"/>
        <v xml:space="preserve"> </v>
      </c>
      <c r="W28">
        <f t="shared" si="21"/>
        <v>480</v>
      </c>
      <c r="X28">
        <f t="shared" si="22"/>
        <v>0</v>
      </c>
      <c r="Y28">
        <f t="shared" si="23"/>
        <v>480</v>
      </c>
      <c r="AD28" s="158">
        <f t="shared" si="25"/>
        <v>7</v>
      </c>
      <c r="AE28" s="158">
        <f t="shared" si="26"/>
        <v>0</v>
      </c>
      <c r="AF28" s="64">
        <f t="shared" si="27"/>
        <v>7</v>
      </c>
      <c r="AG28" s="169">
        <f t="shared" si="28"/>
        <v>15</v>
      </c>
      <c r="AH28" s="169">
        <f t="shared" si="29"/>
        <v>0</v>
      </c>
      <c r="AI28" s="64">
        <f t="shared" si="30"/>
        <v>15</v>
      </c>
      <c r="AJ28" s="169">
        <f t="shared" si="31"/>
        <v>8</v>
      </c>
      <c r="AK28" s="169">
        <f t="shared" si="34"/>
        <v>0</v>
      </c>
      <c r="AL28" s="64">
        <f t="shared" si="32"/>
        <v>8</v>
      </c>
    </row>
    <row r="29" spans="1:38" ht="15.75" x14ac:dyDescent="0.25">
      <c r="A29" s="2">
        <f t="shared" si="24"/>
        <v>46253</v>
      </c>
      <c r="B29" s="2">
        <f t="shared" si="15"/>
        <v>84</v>
      </c>
      <c r="C29" s="54" t="str">
        <f t="shared" si="0"/>
        <v>19.8. środa</v>
      </c>
      <c r="D29" s="159"/>
      <c r="E29" s="117" t="str">
        <f t="shared" si="16"/>
        <v xml:space="preserve"> </v>
      </c>
      <c r="F29" s="115">
        <v>7</v>
      </c>
      <c r="G29" s="115">
        <v>15</v>
      </c>
      <c r="H29" s="55">
        <f t="shared" si="1"/>
        <v>8</v>
      </c>
      <c r="I29" s="55">
        <f t="shared" si="2"/>
        <v>0</v>
      </c>
      <c r="J29" s="56">
        <f t="shared" si="3"/>
        <v>0</v>
      </c>
      <c r="K29" s="57">
        <f t="shared" si="33"/>
        <v>1</v>
      </c>
      <c r="L29" s="57">
        <f t="shared" si="17"/>
        <v>0</v>
      </c>
      <c r="M29" s="58" t="str">
        <f t="shared" si="4"/>
        <v>przerwa1</v>
      </c>
      <c r="N29" s="57">
        <f t="shared" si="18"/>
        <v>1</v>
      </c>
      <c r="O29" s="138"/>
      <c r="P29" s="149"/>
      <c r="Q29" s="138"/>
      <c r="R29" s="8"/>
      <c r="S29" s="60">
        <f t="shared" si="5"/>
        <v>0</v>
      </c>
      <c r="T29" s="60" t="str">
        <f t="shared" si="19"/>
        <v xml:space="preserve"> </v>
      </c>
      <c r="U29" s="60" t="str">
        <f t="shared" si="20"/>
        <v xml:space="preserve"> </v>
      </c>
      <c r="W29">
        <f t="shared" si="21"/>
        <v>480</v>
      </c>
      <c r="X29">
        <f t="shared" si="22"/>
        <v>0</v>
      </c>
      <c r="Y29">
        <f t="shared" si="23"/>
        <v>480</v>
      </c>
      <c r="AD29" s="158">
        <f t="shared" si="25"/>
        <v>7</v>
      </c>
      <c r="AE29" s="158">
        <f t="shared" si="26"/>
        <v>0</v>
      </c>
      <c r="AF29" s="64">
        <f t="shared" si="27"/>
        <v>7</v>
      </c>
      <c r="AG29" s="169">
        <f t="shared" si="28"/>
        <v>15</v>
      </c>
      <c r="AH29" s="169">
        <f t="shared" si="29"/>
        <v>0</v>
      </c>
      <c r="AI29" s="64">
        <f t="shared" si="30"/>
        <v>15</v>
      </c>
      <c r="AJ29" s="169">
        <f t="shared" si="31"/>
        <v>8</v>
      </c>
      <c r="AK29" s="169">
        <f t="shared" si="34"/>
        <v>0</v>
      </c>
      <c r="AL29" s="64">
        <f t="shared" si="32"/>
        <v>8</v>
      </c>
    </row>
    <row r="30" spans="1:38" ht="15.75" x14ac:dyDescent="0.25">
      <c r="A30" s="2">
        <f t="shared" si="24"/>
        <v>46254</v>
      </c>
      <c r="B30" s="2">
        <f t="shared" si="15"/>
        <v>84</v>
      </c>
      <c r="C30" s="54" t="str">
        <f t="shared" si="0"/>
        <v>20.8. czwartek</v>
      </c>
      <c r="D30" s="159"/>
      <c r="E30" s="117" t="str">
        <f t="shared" si="16"/>
        <v xml:space="preserve"> </v>
      </c>
      <c r="F30" s="115">
        <v>7</v>
      </c>
      <c r="G30" s="115">
        <v>15</v>
      </c>
      <c r="H30" s="55">
        <f t="shared" si="1"/>
        <v>8</v>
      </c>
      <c r="I30" s="55">
        <f t="shared" si="2"/>
        <v>0</v>
      </c>
      <c r="J30" s="56">
        <f t="shared" si="3"/>
        <v>0</v>
      </c>
      <c r="K30" s="57">
        <f t="shared" si="33"/>
        <v>1</v>
      </c>
      <c r="L30" s="57">
        <f t="shared" si="17"/>
        <v>0</v>
      </c>
      <c r="M30" s="58" t="str">
        <f t="shared" si="4"/>
        <v>przerwa1</v>
      </c>
      <c r="N30" s="57">
        <f t="shared" si="18"/>
        <v>1</v>
      </c>
      <c r="O30" s="138"/>
      <c r="P30" s="149"/>
      <c r="Q30" s="138"/>
      <c r="R30" s="8"/>
      <c r="S30" s="60">
        <f t="shared" si="5"/>
        <v>0</v>
      </c>
      <c r="T30" s="60" t="str">
        <f t="shared" si="19"/>
        <v xml:space="preserve"> </v>
      </c>
      <c r="U30" s="60" t="str">
        <f t="shared" si="20"/>
        <v xml:space="preserve"> </v>
      </c>
      <c r="W30">
        <f t="shared" si="21"/>
        <v>480</v>
      </c>
      <c r="X30">
        <f t="shared" si="22"/>
        <v>0</v>
      </c>
      <c r="Y30">
        <f t="shared" si="23"/>
        <v>480</v>
      </c>
      <c r="AD30" s="158">
        <f t="shared" si="25"/>
        <v>7</v>
      </c>
      <c r="AE30" s="158">
        <f t="shared" si="26"/>
        <v>0</v>
      </c>
      <c r="AF30" s="64">
        <f t="shared" si="27"/>
        <v>7</v>
      </c>
      <c r="AG30" s="169">
        <f t="shared" si="28"/>
        <v>15</v>
      </c>
      <c r="AH30" s="169">
        <f t="shared" si="29"/>
        <v>0</v>
      </c>
      <c r="AI30" s="64">
        <f t="shared" si="30"/>
        <v>15</v>
      </c>
      <c r="AJ30" s="169">
        <f t="shared" si="31"/>
        <v>8</v>
      </c>
      <c r="AK30" s="169">
        <f t="shared" si="34"/>
        <v>0</v>
      </c>
      <c r="AL30" s="64">
        <f t="shared" si="32"/>
        <v>8</v>
      </c>
    </row>
    <row r="31" spans="1:38" ht="15.75" x14ac:dyDescent="0.25">
      <c r="A31" s="2">
        <f t="shared" si="24"/>
        <v>46255</v>
      </c>
      <c r="B31" s="2">
        <f t="shared" si="15"/>
        <v>84</v>
      </c>
      <c r="C31" s="54" t="str">
        <f t="shared" si="0"/>
        <v>21.8. piątek</v>
      </c>
      <c r="D31" s="159"/>
      <c r="E31" s="117" t="str">
        <f t="shared" si="16"/>
        <v xml:space="preserve"> </v>
      </c>
      <c r="F31" s="115">
        <v>7</v>
      </c>
      <c r="G31" s="115">
        <v>15</v>
      </c>
      <c r="H31" s="55">
        <f t="shared" si="1"/>
        <v>8</v>
      </c>
      <c r="I31" s="55">
        <f t="shared" si="2"/>
        <v>0</v>
      </c>
      <c r="J31" s="56">
        <f t="shared" si="3"/>
        <v>0</v>
      </c>
      <c r="K31" s="57">
        <f t="shared" si="33"/>
        <v>1</v>
      </c>
      <c r="L31" s="57">
        <f t="shared" si="17"/>
        <v>0</v>
      </c>
      <c r="M31" s="58" t="str">
        <f t="shared" si="4"/>
        <v>przerwa1</v>
      </c>
      <c r="N31" s="57">
        <f t="shared" si="18"/>
        <v>1</v>
      </c>
      <c r="O31" s="138"/>
      <c r="P31" s="149"/>
      <c r="Q31" s="138"/>
      <c r="R31" s="8"/>
      <c r="S31" s="60">
        <f t="shared" si="5"/>
        <v>0</v>
      </c>
      <c r="T31" s="60" t="str">
        <f t="shared" si="19"/>
        <v xml:space="preserve"> </v>
      </c>
      <c r="U31" s="60" t="str">
        <f t="shared" si="20"/>
        <v xml:space="preserve"> </v>
      </c>
      <c r="W31">
        <f t="shared" si="21"/>
        <v>480</v>
      </c>
      <c r="X31">
        <f t="shared" si="22"/>
        <v>0</v>
      </c>
      <c r="Y31">
        <f t="shared" si="23"/>
        <v>480</v>
      </c>
      <c r="AD31" s="158">
        <f t="shared" si="25"/>
        <v>7</v>
      </c>
      <c r="AE31" s="158">
        <f t="shared" si="26"/>
        <v>0</v>
      </c>
      <c r="AF31" s="64">
        <f t="shared" si="27"/>
        <v>7</v>
      </c>
      <c r="AG31" s="169">
        <f t="shared" si="28"/>
        <v>15</v>
      </c>
      <c r="AH31" s="169">
        <f t="shared" si="29"/>
        <v>0</v>
      </c>
      <c r="AI31" s="64">
        <f t="shared" si="30"/>
        <v>15</v>
      </c>
      <c r="AJ31" s="169">
        <f t="shared" si="31"/>
        <v>8</v>
      </c>
      <c r="AK31" s="169">
        <f t="shared" si="34"/>
        <v>0</v>
      </c>
      <c r="AL31" s="64">
        <f t="shared" si="32"/>
        <v>8</v>
      </c>
    </row>
    <row r="32" spans="1:38" ht="15.75" x14ac:dyDescent="0.25">
      <c r="A32" s="2">
        <f t="shared" si="24"/>
        <v>46256</v>
      </c>
      <c r="B32" s="2">
        <f t="shared" si="15"/>
        <v>84</v>
      </c>
      <c r="C32" s="54" t="str">
        <f t="shared" si="0"/>
        <v>22.8. sobota</v>
      </c>
      <c r="D32" s="159" t="s">
        <v>47</v>
      </c>
      <c r="E32" s="117" t="str">
        <f t="shared" si="16"/>
        <v>wolne</v>
      </c>
      <c r="F32" s="115"/>
      <c r="G32" s="115"/>
      <c r="H32" s="55" t="str">
        <f t="shared" si="1"/>
        <v/>
      </c>
      <c r="I32" s="55" t="str">
        <f t="shared" si="2"/>
        <v/>
      </c>
      <c r="J32" s="56" t="str">
        <f t="shared" si="3"/>
        <v/>
      </c>
      <c r="K32" s="57">
        <f t="shared" si="33"/>
        <v>0</v>
      </c>
      <c r="L32" s="57">
        <f t="shared" si="17"/>
        <v>0</v>
      </c>
      <c r="M32" s="58" t="str">
        <f t="shared" si="4"/>
        <v>przerwa1</v>
      </c>
      <c r="N32" s="57">
        <f t="shared" si="18"/>
        <v>0</v>
      </c>
      <c r="O32" s="138"/>
      <c r="P32" s="149"/>
      <c r="Q32" s="138"/>
      <c r="R32" s="8"/>
      <c r="S32" s="60" t="str">
        <f t="shared" si="5"/>
        <v xml:space="preserve"> </v>
      </c>
      <c r="T32" s="60" t="str">
        <f t="shared" si="19"/>
        <v xml:space="preserve"> </v>
      </c>
      <c r="U32" s="60" t="str">
        <f t="shared" si="20"/>
        <v xml:space="preserve"> </v>
      </c>
      <c r="W32">
        <f t="shared" si="21"/>
        <v>0</v>
      </c>
      <c r="X32">
        <f t="shared" si="22"/>
        <v>0</v>
      </c>
      <c r="Y32">
        <f t="shared" si="23"/>
        <v>0</v>
      </c>
      <c r="AD32" s="158">
        <f t="shared" si="25"/>
        <v>0</v>
      </c>
      <c r="AE32" s="158">
        <f t="shared" si="26"/>
        <v>0</v>
      </c>
      <c r="AF32" s="64" t="str">
        <f t="shared" si="27"/>
        <v xml:space="preserve"> </v>
      </c>
      <c r="AG32" s="169">
        <f t="shared" si="28"/>
        <v>0</v>
      </c>
      <c r="AH32" s="169">
        <f t="shared" si="29"/>
        <v>0</v>
      </c>
      <c r="AI32" s="64" t="str">
        <f t="shared" si="30"/>
        <v xml:space="preserve"> </v>
      </c>
      <c r="AJ32" s="169" t="str">
        <f t="shared" si="31"/>
        <v/>
      </c>
      <c r="AK32" s="169" t="str">
        <f t="shared" si="34"/>
        <v/>
      </c>
      <c r="AL32" s="64" t="str">
        <f t="shared" si="32"/>
        <v xml:space="preserve"> </v>
      </c>
    </row>
    <row r="33" spans="1:38" ht="15.75" x14ac:dyDescent="0.25">
      <c r="A33" s="2">
        <f t="shared" si="24"/>
        <v>46257</v>
      </c>
      <c r="B33" s="2">
        <f t="shared" si="15"/>
        <v>84</v>
      </c>
      <c r="C33" s="54" t="str">
        <f t="shared" si="0"/>
        <v>23.8. niedziela</v>
      </c>
      <c r="D33" s="159" t="s">
        <v>47</v>
      </c>
      <c r="E33" s="117" t="str">
        <f t="shared" si="16"/>
        <v>wolne</v>
      </c>
      <c r="F33" s="115"/>
      <c r="G33" s="115"/>
      <c r="H33" s="55" t="str">
        <f t="shared" si="1"/>
        <v/>
      </c>
      <c r="I33" s="55" t="str">
        <f t="shared" si="2"/>
        <v/>
      </c>
      <c r="J33" s="56" t="str">
        <f t="shared" si="3"/>
        <v/>
      </c>
      <c r="K33" s="57">
        <f t="shared" si="33"/>
        <v>0</v>
      </c>
      <c r="L33" s="57">
        <f t="shared" si="17"/>
        <v>0</v>
      </c>
      <c r="M33" s="58" t="str">
        <f t="shared" si="4"/>
        <v>przerwa1</v>
      </c>
      <c r="N33" s="57">
        <f t="shared" si="18"/>
        <v>0</v>
      </c>
      <c r="O33" s="138"/>
      <c r="P33" s="149"/>
      <c r="Q33" s="138"/>
      <c r="R33" s="8"/>
      <c r="S33" s="60" t="str">
        <f t="shared" si="5"/>
        <v xml:space="preserve"> </v>
      </c>
      <c r="T33" s="60" t="str">
        <f t="shared" si="19"/>
        <v xml:space="preserve"> </v>
      </c>
      <c r="U33" s="60" t="str">
        <f t="shared" si="20"/>
        <v xml:space="preserve"> </v>
      </c>
      <c r="W33">
        <f t="shared" si="21"/>
        <v>0</v>
      </c>
      <c r="X33">
        <f t="shared" si="22"/>
        <v>0</v>
      </c>
      <c r="Y33">
        <f t="shared" si="23"/>
        <v>0</v>
      </c>
      <c r="AD33" s="158">
        <f t="shared" si="25"/>
        <v>0</v>
      </c>
      <c r="AE33" s="158">
        <f t="shared" si="26"/>
        <v>0</v>
      </c>
      <c r="AF33" s="64" t="str">
        <f t="shared" si="27"/>
        <v xml:space="preserve"> </v>
      </c>
      <c r="AG33" s="169">
        <f t="shared" si="28"/>
        <v>0</v>
      </c>
      <c r="AH33" s="169">
        <f t="shared" si="29"/>
        <v>0</v>
      </c>
      <c r="AI33" s="64" t="str">
        <f t="shared" si="30"/>
        <v xml:space="preserve"> </v>
      </c>
      <c r="AJ33" s="169" t="str">
        <f t="shared" si="31"/>
        <v/>
      </c>
      <c r="AK33" s="169" t="str">
        <f t="shared" si="34"/>
        <v/>
      </c>
      <c r="AL33" s="64" t="str">
        <f t="shared" si="32"/>
        <v xml:space="preserve"> </v>
      </c>
    </row>
    <row r="34" spans="1:38" ht="15.75" x14ac:dyDescent="0.25">
      <c r="A34" s="2">
        <f t="shared" si="24"/>
        <v>46258</v>
      </c>
      <c r="B34" s="2">
        <f t="shared" si="15"/>
        <v>84</v>
      </c>
      <c r="C34" s="54" t="str">
        <f t="shared" si="0"/>
        <v>24.8. poniedziałek</v>
      </c>
      <c r="D34" s="159"/>
      <c r="E34" s="117" t="str">
        <f t="shared" si="16"/>
        <v xml:space="preserve"> </v>
      </c>
      <c r="F34" s="115">
        <v>7</v>
      </c>
      <c r="G34" s="115">
        <v>15</v>
      </c>
      <c r="H34" s="55">
        <f t="shared" si="1"/>
        <v>8</v>
      </c>
      <c r="I34" s="55">
        <f t="shared" si="2"/>
        <v>0</v>
      </c>
      <c r="J34" s="56">
        <f t="shared" si="3"/>
        <v>0</v>
      </c>
      <c r="K34" s="57">
        <f t="shared" si="33"/>
        <v>1</v>
      </c>
      <c r="L34" s="57">
        <f t="shared" si="17"/>
        <v>0</v>
      </c>
      <c r="M34" s="58" t="str">
        <f t="shared" si="4"/>
        <v>przerwa1</v>
      </c>
      <c r="N34" s="57">
        <f t="shared" si="18"/>
        <v>1</v>
      </c>
      <c r="O34" s="138"/>
      <c r="P34" s="149"/>
      <c r="Q34" s="138"/>
      <c r="R34" s="8"/>
      <c r="S34" s="60">
        <f t="shared" si="5"/>
        <v>0</v>
      </c>
      <c r="T34" s="60" t="str">
        <f t="shared" si="19"/>
        <v xml:space="preserve"> </v>
      </c>
      <c r="U34" s="60" t="str">
        <f t="shared" si="20"/>
        <v xml:space="preserve"> </v>
      </c>
      <c r="W34">
        <f t="shared" si="21"/>
        <v>480</v>
      </c>
      <c r="X34">
        <f t="shared" si="22"/>
        <v>0</v>
      </c>
      <c r="Y34">
        <f t="shared" si="23"/>
        <v>480</v>
      </c>
      <c r="AD34" s="158">
        <f t="shared" si="25"/>
        <v>7</v>
      </c>
      <c r="AE34" s="158">
        <f t="shared" si="26"/>
        <v>0</v>
      </c>
      <c r="AF34" s="64">
        <f t="shared" si="27"/>
        <v>7</v>
      </c>
      <c r="AG34" s="169">
        <f t="shared" si="28"/>
        <v>15</v>
      </c>
      <c r="AH34" s="169">
        <f t="shared" si="29"/>
        <v>0</v>
      </c>
      <c r="AI34" s="64">
        <f t="shared" si="30"/>
        <v>15</v>
      </c>
      <c r="AJ34" s="169">
        <f t="shared" si="31"/>
        <v>8</v>
      </c>
      <c r="AK34" s="169">
        <f t="shared" si="34"/>
        <v>0</v>
      </c>
      <c r="AL34" s="64">
        <f t="shared" si="32"/>
        <v>8</v>
      </c>
    </row>
    <row r="35" spans="1:38" ht="15.75" x14ac:dyDescent="0.25">
      <c r="A35" s="2">
        <f t="shared" si="24"/>
        <v>46259</v>
      </c>
      <c r="B35" s="2">
        <f t="shared" si="15"/>
        <v>84</v>
      </c>
      <c r="C35" s="54" t="str">
        <f t="shared" si="0"/>
        <v>25.8. wtorek</v>
      </c>
      <c r="D35" s="159"/>
      <c r="E35" s="117" t="str">
        <f t="shared" si="16"/>
        <v xml:space="preserve"> </v>
      </c>
      <c r="F35" s="115">
        <v>7</v>
      </c>
      <c r="G35" s="115">
        <v>15</v>
      </c>
      <c r="H35" s="55">
        <f t="shared" si="1"/>
        <v>8</v>
      </c>
      <c r="I35" s="55">
        <f t="shared" si="2"/>
        <v>0</v>
      </c>
      <c r="J35" s="56">
        <f t="shared" si="3"/>
        <v>0</v>
      </c>
      <c r="K35" s="57">
        <f t="shared" si="33"/>
        <v>1</v>
      </c>
      <c r="L35" s="57">
        <f t="shared" si="17"/>
        <v>0</v>
      </c>
      <c r="M35" s="58" t="str">
        <f t="shared" si="4"/>
        <v>przerwa1</v>
      </c>
      <c r="N35" s="57">
        <f t="shared" si="18"/>
        <v>1</v>
      </c>
      <c r="O35" s="138"/>
      <c r="P35" s="149"/>
      <c r="Q35" s="138"/>
      <c r="R35" s="8"/>
      <c r="S35" s="60">
        <f t="shared" si="5"/>
        <v>0</v>
      </c>
      <c r="T35" s="60" t="str">
        <f t="shared" si="19"/>
        <v xml:space="preserve"> </v>
      </c>
      <c r="U35" s="60" t="str">
        <f t="shared" si="20"/>
        <v xml:space="preserve"> </v>
      </c>
      <c r="W35">
        <f t="shared" si="21"/>
        <v>480</v>
      </c>
      <c r="X35">
        <f t="shared" si="22"/>
        <v>0</v>
      </c>
      <c r="Y35">
        <f t="shared" si="23"/>
        <v>480</v>
      </c>
      <c r="AD35" s="158">
        <f t="shared" si="25"/>
        <v>7</v>
      </c>
      <c r="AE35" s="158">
        <f t="shared" si="26"/>
        <v>0</v>
      </c>
      <c r="AF35" s="64">
        <f t="shared" si="27"/>
        <v>7</v>
      </c>
      <c r="AG35" s="169">
        <f t="shared" si="28"/>
        <v>15</v>
      </c>
      <c r="AH35" s="169">
        <f t="shared" si="29"/>
        <v>0</v>
      </c>
      <c r="AI35" s="64">
        <f t="shared" si="30"/>
        <v>15</v>
      </c>
      <c r="AJ35" s="169">
        <f t="shared" si="31"/>
        <v>8</v>
      </c>
      <c r="AK35" s="169">
        <f t="shared" si="34"/>
        <v>0</v>
      </c>
      <c r="AL35" s="64">
        <f t="shared" si="32"/>
        <v>8</v>
      </c>
    </row>
    <row r="36" spans="1:38" ht="15.75" x14ac:dyDescent="0.25">
      <c r="A36" s="2">
        <f t="shared" si="24"/>
        <v>46260</v>
      </c>
      <c r="B36" s="2">
        <f t="shared" si="15"/>
        <v>84</v>
      </c>
      <c r="C36" s="54" t="str">
        <f t="shared" si="0"/>
        <v>26.8. środa</v>
      </c>
      <c r="D36" s="159"/>
      <c r="E36" s="117" t="str">
        <f t="shared" si="16"/>
        <v xml:space="preserve"> </v>
      </c>
      <c r="F36" s="115">
        <v>7</v>
      </c>
      <c r="G36" s="115">
        <v>15</v>
      </c>
      <c r="H36" s="55">
        <f t="shared" si="1"/>
        <v>8</v>
      </c>
      <c r="I36" s="55">
        <f t="shared" si="2"/>
        <v>0</v>
      </c>
      <c r="J36" s="56">
        <f t="shared" si="3"/>
        <v>0</v>
      </c>
      <c r="K36" s="57">
        <f t="shared" si="33"/>
        <v>1</v>
      </c>
      <c r="L36" s="57">
        <f t="shared" si="17"/>
        <v>0</v>
      </c>
      <c r="M36" s="58" t="str">
        <f t="shared" si="4"/>
        <v>przerwa1</v>
      </c>
      <c r="N36" s="57">
        <f t="shared" si="18"/>
        <v>1</v>
      </c>
      <c r="O36" s="138"/>
      <c r="P36" s="149"/>
      <c r="Q36" s="138"/>
      <c r="R36" s="8"/>
      <c r="S36" s="60">
        <f t="shared" si="5"/>
        <v>0</v>
      </c>
      <c r="T36" s="60" t="str">
        <f t="shared" si="19"/>
        <v xml:space="preserve"> </v>
      </c>
      <c r="U36" s="60" t="str">
        <f t="shared" si="20"/>
        <v xml:space="preserve"> </v>
      </c>
      <c r="W36">
        <f t="shared" si="21"/>
        <v>480</v>
      </c>
      <c r="X36">
        <f t="shared" si="22"/>
        <v>0</v>
      </c>
      <c r="Y36">
        <f t="shared" si="23"/>
        <v>480</v>
      </c>
      <c r="AD36" s="158">
        <f t="shared" si="25"/>
        <v>7</v>
      </c>
      <c r="AE36" s="158">
        <f t="shared" si="26"/>
        <v>0</v>
      </c>
      <c r="AF36" s="64">
        <f t="shared" si="27"/>
        <v>7</v>
      </c>
      <c r="AG36" s="169">
        <f t="shared" si="28"/>
        <v>15</v>
      </c>
      <c r="AH36" s="169">
        <f t="shared" si="29"/>
        <v>0</v>
      </c>
      <c r="AI36" s="64">
        <f t="shared" si="30"/>
        <v>15</v>
      </c>
      <c r="AJ36" s="169">
        <f t="shared" si="31"/>
        <v>8</v>
      </c>
      <c r="AK36" s="169">
        <f t="shared" si="34"/>
        <v>0</v>
      </c>
      <c r="AL36" s="64">
        <f t="shared" si="32"/>
        <v>8</v>
      </c>
    </row>
    <row r="37" spans="1:38" ht="15.75" x14ac:dyDescent="0.25">
      <c r="A37" s="2">
        <f t="shared" si="24"/>
        <v>46261</v>
      </c>
      <c r="B37" s="2">
        <f t="shared" si="15"/>
        <v>84</v>
      </c>
      <c r="C37" s="54" t="str">
        <f t="shared" si="0"/>
        <v>27.8. czwartek</v>
      </c>
      <c r="D37" s="159"/>
      <c r="E37" s="117" t="str">
        <f t="shared" si="16"/>
        <v xml:space="preserve"> </v>
      </c>
      <c r="F37" s="115">
        <v>7</v>
      </c>
      <c r="G37" s="115">
        <v>15</v>
      </c>
      <c r="H37" s="55">
        <f t="shared" si="1"/>
        <v>8</v>
      </c>
      <c r="I37" s="55">
        <f t="shared" si="2"/>
        <v>0</v>
      </c>
      <c r="J37" s="56">
        <f t="shared" si="3"/>
        <v>0</v>
      </c>
      <c r="K37" s="57">
        <f t="shared" si="33"/>
        <v>1</v>
      </c>
      <c r="L37" s="57">
        <f t="shared" si="17"/>
        <v>0</v>
      </c>
      <c r="M37" s="58" t="str">
        <f t="shared" si="4"/>
        <v>przerwa1</v>
      </c>
      <c r="N37" s="57">
        <f t="shared" si="18"/>
        <v>1</v>
      </c>
      <c r="O37" s="138"/>
      <c r="P37" s="149"/>
      <c r="Q37" s="138"/>
      <c r="R37" s="8"/>
      <c r="S37" s="60">
        <f t="shared" si="5"/>
        <v>0</v>
      </c>
      <c r="T37" s="60" t="str">
        <f t="shared" si="19"/>
        <v xml:space="preserve"> </v>
      </c>
      <c r="U37" s="60" t="str">
        <f t="shared" si="20"/>
        <v xml:space="preserve"> </v>
      </c>
      <c r="W37">
        <f t="shared" si="21"/>
        <v>480</v>
      </c>
      <c r="X37">
        <f t="shared" si="22"/>
        <v>0</v>
      </c>
      <c r="Y37">
        <f t="shared" si="23"/>
        <v>480</v>
      </c>
      <c r="AD37" s="158">
        <f t="shared" si="25"/>
        <v>7</v>
      </c>
      <c r="AE37" s="158">
        <f t="shared" si="26"/>
        <v>0</v>
      </c>
      <c r="AF37" s="64">
        <f t="shared" si="27"/>
        <v>7</v>
      </c>
      <c r="AG37" s="169">
        <f t="shared" si="28"/>
        <v>15</v>
      </c>
      <c r="AH37" s="169">
        <f t="shared" si="29"/>
        <v>0</v>
      </c>
      <c r="AI37" s="64">
        <f t="shared" si="30"/>
        <v>15</v>
      </c>
      <c r="AJ37" s="169">
        <f t="shared" si="31"/>
        <v>8</v>
      </c>
      <c r="AK37" s="169">
        <f t="shared" si="34"/>
        <v>0</v>
      </c>
      <c r="AL37" s="64">
        <f t="shared" si="32"/>
        <v>8</v>
      </c>
    </row>
    <row r="38" spans="1:38" ht="15.75" x14ac:dyDescent="0.25">
      <c r="A38" s="2">
        <f t="shared" si="24"/>
        <v>46262</v>
      </c>
      <c r="B38" s="2">
        <f t="shared" si="15"/>
        <v>84</v>
      </c>
      <c r="C38" s="54" t="str">
        <f t="shared" si="0"/>
        <v>28.8. piątek</v>
      </c>
      <c r="D38" s="159"/>
      <c r="E38" s="117" t="str">
        <f t="shared" si="16"/>
        <v xml:space="preserve"> </v>
      </c>
      <c r="F38" s="115">
        <v>7</v>
      </c>
      <c r="G38" s="115">
        <v>15</v>
      </c>
      <c r="H38" s="55">
        <f t="shared" si="1"/>
        <v>8</v>
      </c>
      <c r="I38" s="55">
        <f t="shared" si="2"/>
        <v>0</v>
      </c>
      <c r="J38" s="56">
        <f t="shared" si="3"/>
        <v>0</v>
      </c>
      <c r="K38" s="57">
        <f t="shared" si="33"/>
        <v>1</v>
      </c>
      <c r="L38" s="57">
        <f t="shared" si="17"/>
        <v>0</v>
      </c>
      <c r="M38" s="58" t="str">
        <f t="shared" si="4"/>
        <v>przerwa1</v>
      </c>
      <c r="N38" s="57">
        <f t="shared" si="18"/>
        <v>1</v>
      </c>
      <c r="O38" s="138"/>
      <c r="P38" s="149"/>
      <c r="Q38" s="138"/>
      <c r="R38" s="8"/>
      <c r="S38" s="60">
        <f t="shared" si="5"/>
        <v>0</v>
      </c>
      <c r="T38" s="60" t="str">
        <f t="shared" si="19"/>
        <v xml:space="preserve"> </v>
      </c>
      <c r="U38" s="60" t="str">
        <f t="shared" si="20"/>
        <v xml:space="preserve"> </v>
      </c>
      <c r="W38">
        <f t="shared" si="21"/>
        <v>480</v>
      </c>
      <c r="X38">
        <f t="shared" si="22"/>
        <v>0</v>
      </c>
      <c r="Y38">
        <f t="shared" si="23"/>
        <v>480</v>
      </c>
      <c r="AD38" s="158">
        <f t="shared" si="25"/>
        <v>7</v>
      </c>
      <c r="AE38" s="158">
        <f t="shared" si="26"/>
        <v>0</v>
      </c>
      <c r="AF38" s="64">
        <f t="shared" si="27"/>
        <v>7</v>
      </c>
      <c r="AG38" s="169">
        <f t="shared" si="28"/>
        <v>15</v>
      </c>
      <c r="AH38" s="169">
        <f t="shared" si="29"/>
        <v>0</v>
      </c>
      <c r="AI38" s="64">
        <f t="shared" si="30"/>
        <v>15</v>
      </c>
      <c r="AJ38" s="169">
        <f t="shared" si="31"/>
        <v>8</v>
      </c>
      <c r="AK38" s="169">
        <f t="shared" si="34"/>
        <v>0</v>
      </c>
      <c r="AL38" s="64">
        <f t="shared" si="32"/>
        <v>8</v>
      </c>
    </row>
    <row r="39" spans="1:38" ht="15.75" x14ac:dyDescent="0.25">
      <c r="A39" s="2">
        <f t="shared" si="24"/>
        <v>46263</v>
      </c>
      <c r="B39" s="2">
        <f t="shared" si="15"/>
        <v>84</v>
      </c>
      <c r="C39" s="54" t="str">
        <f t="shared" si="0"/>
        <v>29.8. sobota</v>
      </c>
      <c r="D39" s="159" t="s">
        <v>47</v>
      </c>
      <c r="E39" s="117" t="str">
        <f t="shared" si="16"/>
        <v>wolne</v>
      </c>
      <c r="F39" s="115"/>
      <c r="G39" s="115"/>
      <c r="H39" s="55" t="str">
        <f t="shared" si="1"/>
        <v/>
      </c>
      <c r="I39" s="55" t="str">
        <f t="shared" si="2"/>
        <v/>
      </c>
      <c r="J39" s="56" t="str">
        <f t="shared" si="3"/>
        <v/>
      </c>
      <c r="K39" s="57">
        <f t="shared" si="33"/>
        <v>0</v>
      </c>
      <c r="L39" s="57">
        <f t="shared" si="17"/>
        <v>0</v>
      </c>
      <c r="M39" s="58" t="str">
        <f t="shared" si="4"/>
        <v>przerwa1</v>
      </c>
      <c r="N39" s="57">
        <f t="shared" si="18"/>
        <v>0</v>
      </c>
      <c r="O39" s="138"/>
      <c r="P39" s="149"/>
      <c r="Q39" s="138"/>
      <c r="R39" s="8"/>
      <c r="S39" s="60" t="str">
        <f t="shared" si="5"/>
        <v xml:space="preserve"> </v>
      </c>
      <c r="T39" s="60" t="str">
        <f t="shared" si="19"/>
        <v xml:space="preserve"> </v>
      </c>
      <c r="U39" s="60" t="str">
        <f t="shared" si="20"/>
        <v xml:space="preserve"> </v>
      </c>
      <c r="W39">
        <f t="shared" si="21"/>
        <v>0</v>
      </c>
      <c r="X39">
        <f t="shared" si="22"/>
        <v>0</v>
      </c>
      <c r="Y39">
        <f t="shared" si="23"/>
        <v>0</v>
      </c>
      <c r="AD39" s="158">
        <f t="shared" si="25"/>
        <v>0</v>
      </c>
      <c r="AE39" s="158">
        <f t="shared" si="26"/>
        <v>0</v>
      </c>
      <c r="AF39" s="64" t="str">
        <f t="shared" si="27"/>
        <v xml:space="preserve"> </v>
      </c>
      <c r="AG39" s="169">
        <f t="shared" si="28"/>
        <v>0</v>
      </c>
      <c r="AH39" s="169">
        <f t="shared" si="29"/>
        <v>0</v>
      </c>
      <c r="AI39" s="64" t="str">
        <f t="shared" si="30"/>
        <v xml:space="preserve"> </v>
      </c>
      <c r="AJ39" s="169" t="str">
        <f t="shared" si="31"/>
        <v/>
      </c>
      <c r="AK39" s="169" t="str">
        <f t="shared" si="34"/>
        <v/>
      </c>
      <c r="AL39" s="64" t="str">
        <f t="shared" si="32"/>
        <v xml:space="preserve"> </v>
      </c>
    </row>
    <row r="40" spans="1:38" ht="15.75" x14ac:dyDescent="0.25">
      <c r="A40" s="2">
        <f t="shared" si="24"/>
        <v>46264</v>
      </c>
      <c r="B40" s="2">
        <f t="shared" si="15"/>
        <v>84</v>
      </c>
      <c r="C40" s="54" t="str">
        <f t="shared" si="0"/>
        <v>30.8. niedziela</v>
      </c>
      <c r="D40" s="159" t="s">
        <v>47</v>
      </c>
      <c r="E40" s="117" t="str">
        <f t="shared" si="16"/>
        <v>wolne</v>
      </c>
      <c r="F40" s="115"/>
      <c r="G40" s="115"/>
      <c r="H40" s="55" t="str">
        <f t="shared" si="1"/>
        <v/>
      </c>
      <c r="I40" s="55" t="str">
        <f t="shared" si="2"/>
        <v/>
      </c>
      <c r="J40" s="56" t="str">
        <f t="shared" si="3"/>
        <v/>
      </c>
      <c r="K40" s="57">
        <f t="shared" si="33"/>
        <v>0</v>
      </c>
      <c r="L40" s="57">
        <f t="shared" si="17"/>
        <v>0</v>
      </c>
      <c r="M40" s="58" t="str">
        <f t="shared" si="4"/>
        <v>przerwa1</v>
      </c>
      <c r="N40" s="57">
        <f t="shared" si="18"/>
        <v>0</v>
      </c>
      <c r="O40" s="138"/>
      <c r="P40" s="149"/>
      <c r="Q40" s="138"/>
      <c r="R40" s="8"/>
      <c r="S40" s="60" t="str">
        <f t="shared" si="5"/>
        <v xml:space="preserve"> </v>
      </c>
      <c r="T40" s="60" t="str">
        <f t="shared" si="19"/>
        <v xml:space="preserve"> </v>
      </c>
      <c r="U40" s="60" t="str">
        <f t="shared" si="20"/>
        <v xml:space="preserve"> </v>
      </c>
      <c r="W40">
        <f t="shared" si="21"/>
        <v>0</v>
      </c>
      <c r="X40">
        <f t="shared" si="22"/>
        <v>0</v>
      </c>
      <c r="Y40">
        <f t="shared" si="23"/>
        <v>0</v>
      </c>
      <c r="AD40" s="158">
        <f t="shared" si="25"/>
        <v>0</v>
      </c>
      <c r="AE40" s="158">
        <f t="shared" si="26"/>
        <v>0</v>
      </c>
      <c r="AF40" s="64" t="str">
        <f t="shared" si="27"/>
        <v xml:space="preserve"> </v>
      </c>
      <c r="AG40" s="169">
        <f t="shared" si="28"/>
        <v>0</v>
      </c>
      <c r="AH40" s="169">
        <f t="shared" si="29"/>
        <v>0</v>
      </c>
      <c r="AI40" s="64" t="str">
        <f t="shared" si="30"/>
        <v xml:space="preserve"> </v>
      </c>
      <c r="AJ40" s="169" t="str">
        <f t="shared" si="31"/>
        <v/>
      </c>
      <c r="AK40" s="169" t="str">
        <f t="shared" si="34"/>
        <v/>
      </c>
      <c r="AL40" s="64" t="str">
        <f t="shared" si="32"/>
        <v xml:space="preserve"> </v>
      </c>
    </row>
    <row r="41" spans="1:38" ht="15.75" x14ac:dyDescent="0.25">
      <c r="A41" s="2">
        <f t="shared" si="24"/>
        <v>46265</v>
      </c>
      <c r="B41" s="2">
        <f t="shared" si="15"/>
        <v>84</v>
      </c>
      <c r="C41" s="54" t="str">
        <f t="shared" si="0"/>
        <v>31.8. poniedziałek</v>
      </c>
      <c r="D41" s="159"/>
      <c r="E41" s="117" t="str">
        <f t="shared" si="16"/>
        <v xml:space="preserve"> </v>
      </c>
      <c r="F41" s="115">
        <v>7</v>
      </c>
      <c r="G41" s="115">
        <v>15</v>
      </c>
      <c r="H41" s="55">
        <f t="shared" si="1"/>
        <v>8</v>
      </c>
      <c r="I41" s="55">
        <f t="shared" si="2"/>
        <v>0</v>
      </c>
      <c r="J41" s="56">
        <f t="shared" si="3"/>
        <v>0</v>
      </c>
      <c r="K41" s="57">
        <f t="shared" si="33"/>
        <v>1</v>
      </c>
      <c r="L41" s="57">
        <f t="shared" si="17"/>
        <v>0</v>
      </c>
      <c r="M41" s="58" t="str">
        <f t="shared" si="4"/>
        <v>przerwa1</v>
      </c>
      <c r="N41" s="57">
        <f t="shared" si="18"/>
        <v>1</v>
      </c>
      <c r="O41" s="138"/>
      <c r="P41" s="149"/>
      <c r="Q41" s="138"/>
      <c r="R41" s="8"/>
      <c r="S41" s="60">
        <f t="shared" si="5"/>
        <v>0</v>
      </c>
      <c r="T41" s="60" t="str">
        <f t="shared" si="19"/>
        <v xml:space="preserve"> </v>
      </c>
      <c r="U41" s="60" t="str">
        <f t="shared" si="20"/>
        <v xml:space="preserve"> </v>
      </c>
      <c r="W41">
        <f t="shared" si="21"/>
        <v>480</v>
      </c>
      <c r="X41">
        <f t="shared" si="22"/>
        <v>0</v>
      </c>
      <c r="Y41">
        <f t="shared" si="23"/>
        <v>480</v>
      </c>
      <c r="AD41" s="158">
        <f t="shared" si="25"/>
        <v>7</v>
      </c>
      <c r="AE41" s="158">
        <f t="shared" si="26"/>
        <v>0</v>
      </c>
      <c r="AF41" s="64">
        <f t="shared" si="27"/>
        <v>7</v>
      </c>
      <c r="AG41" s="169">
        <f t="shared" si="28"/>
        <v>15</v>
      </c>
      <c r="AH41" s="169">
        <f t="shared" si="29"/>
        <v>0</v>
      </c>
      <c r="AI41" s="64">
        <f t="shared" si="30"/>
        <v>15</v>
      </c>
      <c r="AJ41" s="169">
        <f t="shared" si="31"/>
        <v>8</v>
      </c>
      <c r="AK41" s="169">
        <f t="shared" si="34"/>
        <v>0</v>
      </c>
      <c r="AL41" s="64">
        <f t="shared" si="32"/>
        <v>8</v>
      </c>
    </row>
    <row r="42" spans="1:38" ht="15.75" x14ac:dyDescent="0.25">
      <c r="A42" s="1"/>
      <c r="B42" s="1"/>
      <c r="C42" s="62"/>
      <c r="D42" s="116"/>
      <c r="E42" s="117"/>
      <c r="F42" s="116"/>
      <c r="G42" s="116"/>
      <c r="H42" s="55"/>
      <c r="I42" s="59"/>
      <c r="J42" s="59"/>
      <c r="K42" s="57">
        <f t="shared" si="33"/>
        <v>1</v>
      </c>
      <c r="L42" s="57">
        <f>IF(OR((D42="c"),(D42="u")),1,0)</f>
        <v>0</v>
      </c>
      <c r="M42" s="63"/>
      <c r="N42" s="57">
        <f>IF(OR((B42=83),(D42="w"),(D42="g"),(D42="c"),(D42="u")),0,1)</f>
        <v>1</v>
      </c>
      <c r="O42" s="64">
        <f>TRUNC(SUM(O11:O41)/60)+((SUM(O11:O41)/60)-(TRUNC(SUM(O11:O41)/60)))*60/100</f>
        <v>0</v>
      </c>
      <c r="P42" t="s">
        <v>132</v>
      </c>
      <c r="Q42" s="8"/>
      <c r="R42" s="8"/>
      <c r="S42" s="65">
        <f>SUM(S11:S41)</f>
        <v>0</v>
      </c>
      <c r="T42" s="66">
        <f>SUM(T11:T41)</f>
        <v>0</v>
      </c>
      <c r="U42" s="66">
        <f>SUM(U11:U41)</f>
        <v>0</v>
      </c>
    </row>
    <row r="43" spans="1:38" x14ac:dyDescent="0.25">
      <c r="A43" s="1"/>
      <c r="B43" s="1"/>
      <c r="C43" s="67"/>
      <c r="D43" s="21"/>
      <c r="E43" s="21"/>
      <c r="F43" s="21"/>
      <c r="G43" s="21"/>
      <c r="H43" s="21"/>
      <c r="I43" s="68"/>
      <c r="J43" s="68"/>
      <c r="K43" s="69"/>
      <c r="L43" s="69"/>
      <c r="M43" s="69"/>
      <c r="N43" s="70"/>
      <c r="O43" s="144"/>
      <c r="P43" s="8"/>
      <c r="Q43" s="8"/>
      <c r="R43" s="8"/>
      <c r="S43" s="71">
        <f>S42/60</f>
        <v>0</v>
      </c>
      <c r="T43" s="66"/>
      <c r="U43" s="8"/>
    </row>
    <row r="44" spans="1:38" ht="15" customHeight="1" x14ac:dyDescent="0.25">
      <c r="A44" s="1"/>
      <c r="B44" s="1"/>
      <c r="C44" s="67" t="s">
        <v>30</v>
      </c>
      <c r="D44" s="21"/>
      <c r="E44" s="72">
        <f>SUM(K11:K41)</f>
        <v>21</v>
      </c>
      <c r="F44" s="21" t="s">
        <v>31</v>
      </c>
      <c r="G44" s="21"/>
      <c r="H44" s="21"/>
      <c r="I44" s="73" t="s">
        <v>32</v>
      </c>
      <c r="J44" s="72">
        <f>SUM(N11:N41)</f>
        <v>21</v>
      </c>
      <c r="K44" s="74" t="s">
        <v>31</v>
      </c>
      <c r="L44" s="74"/>
      <c r="M44" s="74"/>
      <c r="N44" s="30"/>
      <c r="O44" s="141" t="s">
        <v>31</v>
      </c>
      <c r="P44" s="8"/>
      <c r="W44">
        <f>((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60)</f>
        <v>10080</v>
      </c>
      <c r="X44">
        <f>(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-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100)</f>
        <v>0</v>
      </c>
      <c r="Y44">
        <f>((TRUNC(O42)*60)+(O42-TRUNC(O42))*100)</f>
        <v>0</v>
      </c>
      <c r="Z44">
        <f>W44+X44+Y44</f>
        <v>10080</v>
      </c>
      <c r="AA44">
        <f>Z44/60</f>
        <v>168</v>
      </c>
      <c r="AB44">
        <f>TRUNC(AA44)</f>
        <v>168</v>
      </c>
      <c r="AC44">
        <f>(AA44-AB44)*60/100</f>
        <v>0</v>
      </c>
      <c r="AD44">
        <f>AB44+AC44</f>
        <v>168</v>
      </c>
    </row>
    <row r="45" spans="1:38" x14ac:dyDescent="0.25">
      <c r="A45" s="1"/>
      <c r="B45" s="1"/>
      <c r="C45" s="75" t="s">
        <v>33</v>
      </c>
      <c r="D45" s="21"/>
      <c r="E45" s="76">
        <f>ROUND(SUM(K11:K41)*godz,2)</f>
        <v>168</v>
      </c>
      <c r="F45" s="21" t="s">
        <v>34</v>
      </c>
      <c r="G45" s="21"/>
      <c r="H45" s="21"/>
      <c r="I45" s="73" t="s">
        <v>35</v>
      </c>
      <c r="J45" s="76">
        <f>AB44+AC44</f>
        <v>168</v>
      </c>
      <c r="K45" s="74" t="s">
        <v>34</v>
      </c>
      <c r="L45" s="74"/>
      <c r="M45" s="74"/>
      <c r="N45" s="30"/>
      <c r="O45" s="141" t="s">
        <v>34</v>
      </c>
      <c r="P45" s="8"/>
    </row>
    <row r="46" spans="1:38" x14ac:dyDescent="0.25">
      <c r="A46" s="1"/>
      <c r="B46" s="1"/>
      <c r="C46" s="67"/>
      <c r="D46" s="21"/>
      <c r="E46" s="76"/>
      <c r="F46" s="21"/>
      <c r="G46" s="21"/>
      <c r="H46" s="21"/>
      <c r="I46" s="73"/>
      <c r="J46" s="76"/>
      <c r="K46" s="74"/>
      <c r="L46" s="74"/>
      <c r="M46" s="74"/>
      <c r="N46" s="30"/>
      <c r="O46" s="141"/>
      <c r="P46" s="8"/>
    </row>
    <row r="47" spans="1:38" x14ac:dyDescent="0.25">
      <c r="A47" s="1"/>
      <c r="B47" s="1"/>
      <c r="C47" s="67"/>
      <c r="D47" s="21"/>
      <c r="E47" s="76"/>
      <c r="F47" s="21"/>
      <c r="G47" s="21"/>
      <c r="H47" s="21"/>
      <c r="I47" s="73" t="s">
        <v>36</v>
      </c>
      <c r="J47" s="72">
        <f>SUM(L11:L41)</f>
        <v>0</v>
      </c>
      <c r="K47" s="74" t="s">
        <v>37</v>
      </c>
      <c r="L47" s="74"/>
      <c r="M47" s="74"/>
      <c r="N47" s="30"/>
      <c r="O47" s="141" t="s">
        <v>37</v>
      </c>
      <c r="P47" s="8"/>
    </row>
    <row r="48" spans="1:38" x14ac:dyDescent="0.25">
      <c r="A48" s="1"/>
      <c r="B48" s="1"/>
      <c r="C48" s="67"/>
      <c r="D48" s="21"/>
      <c r="E48" s="21"/>
      <c r="F48" s="21"/>
      <c r="G48" s="21"/>
      <c r="H48" s="21"/>
      <c r="I48" s="73" t="s">
        <v>147</v>
      </c>
      <c r="J48" s="167"/>
      <c r="K48" s="78"/>
      <c r="L48" s="78"/>
      <c r="M48" s="78"/>
      <c r="N48" s="79"/>
      <c r="O48" s="141"/>
      <c r="P48" s="8"/>
    </row>
    <row r="49" spans="3:16" x14ac:dyDescent="0.25">
      <c r="C49" s="80" t="s">
        <v>61</v>
      </c>
      <c r="D49" s="21"/>
      <c r="E49" s="76">
        <f>TRUNC((((TRUNC(J45)*60)+(J45-TRUNC(J45))*100)-E45*60)/60)+((((((TRUNC(J45)*60)+(J45-TRUNC(J45))*100)-E45*60)/60)-TRUNC((((TRUNC(J45)*60)+(J45-TRUNC(J45))*100)-E45*60)/60))*60/100)</f>
        <v>0</v>
      </c>
      <c r="F49" s="21" t="s">
        <v>34</v>
      </c>
      <c r="G49" s="8"/>
      <c r="H49" s="73"/>
      <c r="I49" s="73" t="s">
        <v>148</v>
      </c>
      <c r="J49" s="76">
        <f>TRUNC((((ROUND(J47*godz,2))*60)-(TRUNC(J48)*60+(J48-TRUNC(J48))*100))/60)+((((((ROUND(J47*godz,2))*60)-(TRUNC(J48)*60+(J48-TRUNC(J48))*100))/60)-TRUNC((((ROUND(J47*godz,2))*60)-(TRUNC(J48)*60+(J48-TRUNC(J48))*100))/60))*60/100)</f>
        <v>0</v>
      </c>
      <c r="K49" s="77"/>
      <c r="L49" s="21"/>
      <c r="M49" s="21"/>
      <c r="N49" s="30"/>
      <c r="O49" s="142"/>
      <c r="P49" s="21"/>
    </row>
    <row r="50" spans="3:16" ht="15.75" customHeight="1" thickBot="1" x14ac:dyDescent="0.3">
      <c r="C50" s="163" t="s">
        <v>38</v>
      </c>
      <c r="D50" s="164"/>
      <c r="E50" s="165">
        <f>J49</f>
        <v>0</v>
      </c>
      <c r="F50" s="164" t="s">
        <v>34</v>
      </c>
      <c r="G50" s="82"/>
      <c r="H50" s="21"/>
      <c r="I50" s="83"/>
      <c r="J50" s="83"/>
      <c r="K50" s="21"/>
      <c r="L50" s="21"/>
      <c r="M50" s="21"/>
      <c r="N50" s="30"/>
      <c r="O50" s="30"/>
      <c r="P50" s="8"/>
    </row>
    <row r="51" spans="3:16" ht="15.75" thickBot="1" x14ac:dyDescent="0.3">
      <c r="C51" s="166" t="s">
        <v>134</v>
      </c>
      <c r="D51" s="164"/>
      <c r="E51" s="165">
        <f>TRUNC(((TRUNC(J45)*60+(J45-TRUNC(J45))*100)+(TRUNC(J49)*60+(J49-TRUNC(J49))*100))/60)+((((TRUNC(J45)*60+(J45-TRUNC(J45))*100)+(TRUNC(J49)*60+(J49-TRUNC(J49))*100))/60)-TRUNC(((TRUNC(J45)*60+(J45-TRUNC(J45))*100)+(TRUNC(J49)*60+(J49-TRUNC(J49))*100))/60))*60/100</f>
        <v>168</v>
      </c>
      <c r="F51" s="164" t="s">
        <v>34</v>
      </c>
      <c r="G51" s="21"/>
      <c r="H51" s="21"/>
      <c r="I51" s="83" t="s">
        <v>39</v>
      </c>
      <c r="J51" s="84">
        <f>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+(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-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)*60/100)</f>
        <v>0</v>
      </c>
      <c r="K51" s="83" t="s">
        <v>34</v>
      </c>
      <c r="L51" s="83"/>
      <c r="M51" s="85"/>
      <c r="N51" s="30"/>
      <c r="O51" s="143" t="s">
        <v>34</v>
      </c>
      <c r="P51" s="8"/>
    </row>
    <row r="52" spans="3:16" ht="15.75" thickBot="1" x14ac:dyDescent="0.3">
      <c r="C52" s="86"/>
      <c r="D52" s="87"/>
      <c r="E52" s="88" t="s">
        <v>40</v>
      </c>
      <c r="F52" s="89"/>
      <c r="G52" s="87"/>
      <c r="H52" s="87"/>
      <c r="I52" s="88" t="s">
        <v>40</v>
      </c>
      <c r="J52" s="88" t="s">
        <v>41</v>
      </c>
      <c r="K52" s="87"/>
      <c r="L52" s="87"/>
      <c r="M52" s="87"/>
      <c r="N52" s="90"/>
      <c r="O52" s="90"/>
      <c r="P52" s="8"/>
    </row>
    <row r="53" spans="3:16" x14ac:dyDescent="0.25">
      <c r="C53" s="91" t="s">
        <v>52</v>
      </c>
      <c r="D53" s="13"/>
      <c r="E53" s="13"/>
      <c r="F53" s="13"/>
      <c r="G53" s="13"/>
      <c r="H53" s="13"/>
      <c r="I53" s="92"/>
      <c r="J53" s="92"/>
      <c r="K53" s="92"/>
      <c r="L53" s="92"/>
      <c r="M53" s="92"/>
      <c r="N53" s="93"/>
      <c r="O53" s="147"/>
      <c r="P53" s="8"/>
    </row>
    <row r="54" spans="3:16" ht="15.75" customHeight="1" x14ac:dyDescent="0.25">
      <c r="C54" s="118" t="s">
        <v>51</v>
      </c>
      <c r="D54" s="21"/>
      <c r="E54" s="94">
        <f>'Juli 2026'!J54</f>
        <v>6.56</v>
      </c>
      <c r="F54" s="83" t="s">
        <v>34</v>
      </c>
      <c r="G54" s="21"/>
      <c r="H54" s="21"/>
      <c r="I54" s="95" t="s">
        <v>44</v>
      </c>
      <c r="J54" s="98">
        <f>TRUNC(SUM(((TRUNC(J51)*60)+((J51-TRUNC(J51))*100)),(TRUNC(E54)*60)+((E54-TRUNC(E54))*100))/60)+((SUM(((TRUNC(J51)*60)+((J51-TRUNC(J51))*100)),(TRUNC(E54)*60)+((E54-TRUNC(E54))*100))/60)-TRUNC((SUM(((TRUNC(J51)*60)+((J51-TRUNC(J51))*100)),(TRUNC(E54)*60)+((E54-TRUNC(E54))*100))/60)))*60/100</f>
        <v>6.56</v>
      </c>
      <c r="K54" s="96" t="s">
        <v>34</v>
      </c>
      <c r="L54" s="81"/>
      <c r="M54" s="81"/>
      <c r="N54" s="30"/>
      <c r="O54" s="145" t="s">
        <v>34</v>
      </c>
      <c r="P54" s="8"/>
    </row>
    <row r="55" spans="3:16" ht="15.75" thickBot="1" x14ac:dyDescent="0.3">
      <c r="C55" s="119"/>
      <c r="D55" s="87"/>
      <c r="E55" s="87"/>
      <c r="F55" s="87"/>
      <c r="G55" s="87"/>
      <c r="H55" s="87"/>
      <c r="I55" s="97"/>
      <c r="J55" s="97"/>
      <c r="K55" s="97"/>
      <c r="L55" s="97"/>
      <c r="M55" s="97"/>
      <c r="N55" s="90"/>
      <c r="O55" s="146"/>
      <c r="P55" s="8"/>
    </row>
    <row r="56" spans="3:16" x14ac:dyDescent="0.25">
      <c r="C56" s="10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</row>
    <row r="57" spans="3:16" x14ac:dyDescent="0.25">
      <c r="C57" s="6"/>
    </row>
    <row r="58" spans="3:16" x14ac:dyDescent="0.25">
      <c r="E58" s="161"/>
    </row>
  </sheetData>
  <sheetProtection selectLockedCells="1"/>
  <mergeCells count="3">
    <mergeCell ref="E2:F2"/>
    <mergeCell ref="E3:F3"/>
    <mergeCell ref="E4:F4"/>
  </mergeCells>
  <pageMargins left="0.7" right="0.7" top="0.75" bottom="0.75" header="0.3" footer="0.3"/>
  <pageSetup paperSize="9" orientation="portrait" horizontalDpi="4294967295" verticalDpi="4294967295" r:id="rId1"/>
  <ignoredErrors>
    <ignoredError sqref="J47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Dane!$A$1:$A$12</xm:f>
          </x14:formula1>
          <xm:sqref>D11:D42</xm:sqref>
        </x14:dataValidation>
        <x14:dataValidation type="list" allowBlank="1" showInputMessage="1" showErrorMessage="1">
          <x14:formula1>
            <xm:f>Dane!$G$2:$G$16</xm:f>
          </x14:formula1>
          <xm:sqref>P11:P42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9"/>
  <dimension ref="A1:AL58"/>
  <sheetViews>
    <sheetView topLeftCell="C16" zoomScale="101" zoomScaleNormal="101" workbookViewId="0">
      <selection activeCell="R53" sqref="R53"/>
    </sheetView>
  </sheetViews>
  <sheetFormatPr defaultColWidth="9.140625" defaultRowHeight="15" x14ac:dyDescent="0.25"/>
  <cols>
    <col min="1" max="1" width="3.42578125" hidden="1" customWidth="1"/>
    <col min="2" max="2" width="3" hidden="1" customWidth="1"/>
    <col min="3" max="3" width="19.85546875" customWidth="1"/>
    <col min="4" max="4" width="3.7109375" customWidth="1"/>
    <col min="5" max="5" width="14.28515625" bestFit="1" customWidth="1"/>
    <col min="8" max="8" width="7.42578125" customWidth="1"/>
    <col min="9" max="9" width="15.5703125" bestFit="1" customWidth="1"/>
    <col min="10" max="10" width="10" bestFit="1" customWidth="1"/>
    <col min="11" max="11" width="10.7109375" hidden="1" customWidth="1"/>
    <col min="12" max="12" width="12" hidden="1" customWidth="1"/>
    <col min="13" max="13" width="10.140625" hidden="1" customWidth="1"/>
    <col min="14" max="14" width="17.42578125" hidden="1" customWidth="1"/>
    <col min="15" max="15" width="14.7109375" customWidth="1"/>
    <col min="17" max="17" width="13.28515625" customWidth="1"/>
    <col min="19" max="19" width="9.140625" hidden="1" customWidth="1"/>
    <col min="20" max="20" width="14.42578125" customWidth="1"/>
    <col min="21" max="21" width="14.85546875" customWidth="1"/>
    <col min="23" max="31" width="9.140625" hidden="1" customWidth="1"/>
    <col min="32" max="32" width="16.140625" bestFit="1" customWidth="1"/>
    <col min="33" max="34" width="0" hidden="1" customWidth="1"/>
    <col min="35" max="35" width="12.28515625" bestFit="1" customWidth="1"/>
    <col min="36" max="37" width="9.140625" hidden="1" customWidth="1"/>
    <col min="38" max="38" width="13.140625" bestFit="1" customWidth="1"/>
  </cols>
  <sheetData>
    <row r="1" spans="1:38" ht="18.75" thickBot="1" x14ac:dyDescent="0.3">
      <c r="A1" s="5" t="s">
        <v>48</v>
      </c>
      <c r="B1" s="1"/>
      <c r="C1" s="103" t="s">
        <v>0</v>
      </c>
      <c r="D1" s="104">
        <v>9</v>
      </c>
      <c r="E1" s="102"/>
      <c r="F1" s="102"/>
      <c r="G1" s="103" t="s">
        <v>1</v>
      </c>
      <c r="H1" s="105" t="str">
        <f>'Januar 2026'!rok</f>
        <v>2026</v>
      </c>
      <c r="I1" s="106" t="s">
        <v>2</v>
      </c>
      <c r="J1" s="104">
        <v>8</v>
      </c>
      <c r="K1" s="108"/>
      <c r="L1" s="109"/>
      <c r="M1" s="109"/>
      <c r="N1" s="110"/>
      <c r="O1" s="8"/>
      <c r="P1" s="8"/>
      <c r="Q1" s="9" t="str">
        <f>Dane!A2</f>
        <v>w</v>
      </c>
      <c r="R1" s="10" t="str">
        <f>Dane!B2</f>
        <v>dzień wolny ustawowo</v>
      </c>
      <c r="S1" s="8"/>
      <c r="T1" s="8"/>
      <c r="U1" s="123" t="str">
        <f>Dane!A9</f>
        <v>oc</v>
      </c>
      <c r="V1" s="8" t="str">
        <f>Dane!B9</f>
        <v>opieka nad chorym dzieckiem</v>
      </c>
    </row>
    <row r="2" spans="1:38" x14ac:dyDescent="0.25">
      <c r="A2" s="2"/>
      <c r="B2" s="1"/>
      <c r="C2" s="11"/>
      <c r="D2" s="11" t="s">
        <v>4</v>
      </c>
      <c r="E2" s="175"/>
      <c r="F2" s="176"/>
      <c r="G2" s="16"/>
      <c r="H2" s="17"/>
      <c r="I2" s="28" t="s">
        <v>5</v>
      </c>
      <c r="J2" s="101">
        <v>40</v>
      </c>
      <c r="K2" s="12" t="s">
        <v>6</v>
      </c>
      <c r="L2" s="13"/>
      <c r="M2" s="13"/>
      <c r="N2" s="14"/>
      <c r="O2" s="12" t="s">
        <v>6</v>
      </c>
      <c r="P2" s="8"/>
      <c r="Q2" s="9" t="str">
        <f>Dane!A3</f>
        <v>u</v>
      </c>
      <c r="R2" s="10" t="str">
        <f>Dane!B3</f>
        <v>urlop</v>
      </c>
      <c r="S2" s="8"/>
      <c r="T2" s="8"/>
      <c r="U2" s="122" t="str">
        <f>Dane!A10</f>
        <v>um</v>
      </c>
      <c r="V2" s="8" t="str">
        <f>Dane!B10</f>
        <v>urlop macierzyński</v>
      </c>
    </row>
    <row r="3" spans="1:38" x14ac:dyDescent="0.25">
      <c r="A3" s="1"/>
      <c r="B3" s="1"/>
      <c r="C3" s="15"/>
      <c r="D3" s="15" t="s">
        <v>46</v>
      </c>
      <c r="E3" s="175"/>
      <c r="F3" s="176"/>
      <c r="G3" s="16"/>
      <c r="H3" s="17"/>
      <c r="I3" s="18"/>
      <c r="J3" s="19"/>
      <c r="K3" s="20"/>
      <c r="L3" s="21"/>
      <c r="M3" s="21"/>
      <c r="N3" s="22"/>
      <c r="O3" s="20"/>
      <c r="P3" s="8"/>
      <c r="Q3" s="9" t="str">
        <f>Dane!A4</f>
        <v>c</v>
      </c>
      <c r="R3" s="10" t="str">
        <f>Dane!B4</f>
        <v>choroba</v>
      </c>
      <c r="S3" s="8"/>
      <c r="T3" s="8"/>
      <c r="U3" s="122" t="str">
        <f>Dane!A11</f>
        <v>uz</v>
      </c>
      <c r="V3" s="8" t="str">
        <f>Dane!B11</f>
        <v>urlop zaplanowany</v>
      </c>
    </row>
    <row r="4" spans="1:38" ht="15.75" thickBot="1" x14ac:dyDescent="0.3">
      <c r="A4" s="3"/>
      <c r="B4" s="1"/>
      <c r="C4" s="15"/>
      <c r="D4" s="23" t="s">
        <v>11</v>
      </c>
      <c r="E4" s="175"/>
      <c r="F4" s="176"/>
      <c r="G4" s="16"/>
      <c r="H4" s="17"/>
      <c r="I4" s="18"/>
      <c r="J4" s="19"/>
      <c r="K4" s="20"/>
      <c r="L4" s="21"/>
      <c r="M4" s="21"/>
      <c r="N4" s="22"/>
      <c r="O4" s="20"/>
      <c r="P4" s="8"/>
      <c r="Q4" s="9" t="str">
        <f>Dane!A5</f>
        <v>g</v>
      </c>
      <c r="R4" s="10" t="str">
        <f>Dane!B5</f>
        <v xml:space="preserve">godz.(rządanie pracownika) </v>
      </c>
      <c r="S4" s="8"/>
      <c r="T4" s="8"/>
      <c r="U4" s="122" t="str">
        <f>Dane!A12</f>
        <v>gp</v>
      </c>
      <c r="V4" t="str">
        <f>Dane!B12</f>
        <v xml:space="preserve">godz.(rządanie pracodawcy) </v>
      </c>
    </row>
    <row r="5" spans="1:38" x14ac:dyDescent="0.25">
      <c r="A5" s="3"/>
      <c r="B5" s="1"/>
      <c r="C5" s="15"/>
      <c r="D5" s="24"/>
      <c r="E5" s="25"/>
      <c r="F5" s="26"/>
      <c r="G5" s="27"/>
      <c r="H5" s="17"/>
      <c r="I5" s="28" t="s">
        <v>12</v>
      </c>
      <c r="J5" s="111">
        <v>0</v>
      </c>
      <c r="K5" s="29" t="s">
        <v>13</v>
      </c>
      <c r="L5" s="21"/>
      <c r="M5" s="21"/>
      <c r="N5" s="30"/>
      <c r="O5" s="29" t="s">
        <v>13</v>
      </c>
      <c r="P5" s="8"/>
      <c r="Q5" s="9" t="str">
        <f>Dane!A6</f>
        <v>s</v>
      </c>
      <c r="R5" s="10" t="str">
        <f>Dane!B6</f>
        <v>urlop specjalny/okolicznościow</v>
      </c>
      <c r="S5" s="8"/>
      <c r="T5" s="8"/>
      <c r="U5" s="9"/>
    </row>
    <row r="6" spans="1:38" x14ac:dyDescent="0.25">
      <c r="A6" s="3"/>
      <c r="B6" s="1"/>
      <c r="C6" s="15"/>
      <c r="D6" s="23"/>
      <c r="E6" s="31"/>
      <c r="F6" s="32"/>
      <c r="G6" s="33"/>
      <c r="H6" s="17"/>
      <c r="I6" s="21"/>
      <c r="J6" s="112">
        <v>0</v>
      </c>
      <c r="K6" s="29" t="s">
        <v>16</v>
      </c>
      <c r="L6" s="21"/>
      <c r="M6" s="21"/>
      <c r="N6" s="30"/>
      <c r="O6" s="29" t="s">
        <v>16</v>
      </c>
      <c r="P6" s="8"/>
      <c r="Q6" s="9" t="str">
        <f>Dane!A7</f>
        <v>a</v>
      </c>
      <c r="R6" s="10" t="str">
        <f>Dane!B7</f>
        <v>nieobecny</v>
      </c>
      <c r="S6" s="8"/>
      <c r="T6" s="8"/>
      <c r="U6" s="8"/>
    </row>
    <row r="7" spans="1:38" ht="15.75" thickBot="1" x14ac:dyDescent="0.3">
      <c r="A7" s="1"/>
      <c r="B7" s="1"/>
      <c r="C7" s="34"/>
      <c r="D7" s="35"/>
      <c r="E7" s="35"/>
      <c r="F7" s="35"/>
      <c r="G7" s="35"/>
      <c r="H7" s="17"/>
      <c r="I7" s="28" t="s">
        <v>17</v>
      </c>
      <c r="J7" s="113">
        <v>8</v>
      </c>
      <c r="K7" s="20" t="s">
        <v>18</v>
      </c>
      <c r="L7" s="21"/>
      <c r="M7" s="21"/>
      <c r="N7" s="30"/>
      <c r="O7" s="20" t="s">
        <v>18</v>
      </c>
      <c r="P7" s="8"/>
      <c r="Q7" s="9" t="str">
        <f>Dane!A8</f>
        <v>op</v>
      </c>
      <c r="R7" s="10" t="str">
        <f>Dane!B8</f>
        <v>opieka nad zdrowym dzieckiem</v>
      </c>
      <c r="S7" s="8"/>
      <c r="T7" s="8"/>
      <c r="U7" s="8"/>
    </row>
    <row r="8" spans="1:38" ht="23.25" x14ac:dyDescent="0.35">
      <c r="A8" s="2"/>
      <c r="B8" s="2"/>
      <c r="C8" s="99" t="s">
        <v>45</v>
      </c>
      <c r="D8" s="7"/>
      <c r="E8" s="7"/>
      <c r="F8" s="100" t="str">
        <f>TEXT(DATE(H1,D1,1),"MMMM rrrr")</f>
        <v>wrzesień 2026</v>
      </c>
      <c r="G8" s="36"/>
      <c r="H8" s="37"/>
      <c r="I8" s="38"/>
      <c r="J8" s="39"/>
      <c r="K8" s="39"/>
      <c r="L8" s="39"/>
      <c r="M8" s="39"/>
      <c r="N8" s="40"/>
      <c r="O8" s="41"/>
      <c r="P8" s="42"/>
      <c r="Q8" s="41"/>
      <c r="R8" s="42"/>
      <c r="S8" s="41"/>
      <c r="T8" s="41"/>
      <c r="U8" s="42"/>
    </row>
    <row r="9" spans="1:38" ht="15.75" thickBot="1" x14ac:dyDescent="0.3">
      <c r="A9" s="2"/>
      <c r="B9" s="2"/>
      <c r="C9" s="43"/>
      <c r="D9" s="44" t="s">
        <v>21</v>
      </c>
      <c r="E9" s="45" t="str">
        <f>TEXT(F9,"DDDD ")</f>
        <v xml:space="preserve">wtorek </v>
      </c>
      <c r="F9" s="45">
        <f>DATE(H1,D1,1)</f>
        <v>46266</v>
      </c>
      <c r="G9" s="44" t="s">
        <v>22</v>
      </c>
      <c r="H9" s="46" t="str">
        <f>TEXT(I9,"DDDD ")</f>
        <v xml:space="preserve">środa </v>
      </c>
      <c r="I9" s="45">
        <f>DATE(YEAR(F9),MONTH(F9+31),DAY(F9))-1</f>
        <v>46295</v>
      </c>
      <c r="J9" s="47"/>
      <c r="K9" s="47"/>
      <c r="L9" s="47"/>
      <c r="M9" s="47"/>
      <c r="N9" s="30"/>
      <c r="O9" s="48"/>
      <c r="P9" s="49"/>
      <c r="Q9" s="48"/>
      <c r="R9" s="49"/>
      <c r="S9" s="48"/>
      <c r="T9" s="48"/>
      <c r="U9" s="49"/>
    </row>
    <row r="10" spans="1:38" ht="52.5" thickBot="1" x14ac:dyDescent="0.3">
      <c r="A10" s="4"/>
      <c r="B10" s="4"/>
      <c r="C10" s="50" t="s">
        <v>23</v>
      </c>
      <c r="D10" s="51"/>
      <c r="E10" s="51" t="s">
        <v>24</v>
      </c>
      <c r="F10" s="51" t="s">
        <v>25</v>
      </c>
      <c r="G10" s="51" t="s">
        <v>26</v>
      </c>
      <c r="H10" s="51" t="s">
        <v>27</v>
      </c>
      <c r="I10" s="51" t="s">
        <v>137</v>
      </c>
      <c r="J10" s="51" t="s">
        <v>28</v>
      </c>
      <c r="K10" s="51"/>
      <c r="L10" s="51" t="s">
        <v>100</v>
      </c>
      <c r="M10" s="51"/>
      <c r="N10" s="52"/>
      <c r="O10" s="114" t="s">
        <v>54</v>
      </c>
      <c r="P10" s="51" t="s">
        <v>105</v>
      </c>
      <c r="Q10" s="136" t="s">
        <v>101</v>
      </c>
      <c r="R10" s="53"/>
      <c r="S10" s="51"/>
      <c r="T10" s="114" t="s">
        <v>49</v>
      </c>
      <c r="U10" s="114" t="s">
        <v>50</v>
      </c>
      <c r="W10" t="s">
        <v>138</v>
      </c>
      <c r="X10" t="s">
        <v>139</v>
      </c>
      <c r="Y10" t="s">
        <v>140</v>
      </c>
      <c r="AF10" s="171" t="s">
        <v>152</v>
      </c>
      <c r="AG10" s="171"/>
      <c r="AH10" s="171"/>
      <c r="AI10" s="171" t="s">
        <v>153</v>
      </c>
      <c r="AJ10" s="171"/>
      <c r="AK10" s="171"/>
      <c r="AL10" s="171" t="s">
        <v>154</v>
      </c>
    </row>
    <row r="11" spans="1:38" ht="15.75" x14ac:dyDescent="0.25">
      <c r="A11" s="2">
        <f>DATE(H1,D1,1)</f>
        <v>46266</v>
      </c>
      <c r="B11" s="2">
        <f>CODE(TEXT(A11,"TTTT"))</f>
        <v>84</v>
      </c>
      <c r="C11" s="54" t="str">
        <f t="shared" ref="C11:C40" si="0">TEXT(A11,"DD.M. DDDD")</f>
        <v>01.9. wtorek</v>
      </c>
      <c r="D11" s="159"/>
      <c r="E11" s="117" t="str">
        <f>IF(D11="w","wolne",IF(D11="u","urlop",IF(D11="c","choroba",IF(D11="g","godziny",IF(D11="a","nieobecny",IF(D11="op","opieka"," "))))))</f>
        <v xml:space="preserve"> </v>
      </c>
      <c r="F11" s="115">
        <v>7</v>
      </c>
      <c r="G11" s="115">
        <v>15</v>
      </c>
      <c r="H11" s="55">
        <f t="shared" ref="H11:H40" si="1">IF(D11="d",(((((TRUNC(G11)-1)-TRUNC(F11))*60)+((G11-TRUNC(G11))*100)+(60-(F11-TRUNC(F11))*100))-(IF(M11&lt;przerwa1,pause,przerwa1)))/60,IF((OR((B11=83),(D11="u"),(D11="uz"),(D11="a"),(D11="c"),(D11="s"),(AND(D11="w",F11="")),(D11="oc"),(D11="um"),(D11="op"),(D11="oc"))),"",IF(OR(D11="g",AND(D11="gp",F11="")),0,TRUNC((((TRUNC(G11)*60+(G11-(TRUNC(G11)))*100)-(TRUNC(F11)*60+(F11-TRUNC(F11))*100))-(IF(M11&lt;przerwa1,pause,przerwa1)))/60)+(((((TRUNC(G11)*60+(G11-(TRUNC(G11)))*100)-(TRUNC(F11)*60+(F11-TRUNC(F11))*100))-(IF(M11&lt;przerwa1,pause,przerwa1)))/60)-TRUNC(((((TRUNC(G11)*60+(G11-(TRUNC(G11)))*100)-(TRUNC(F11)*60+(F11-TRUNC(F11))*100))-(IF(M11&lt;przerwa1,pause,przerwa1)))/60)))*60/100)))</f>
        <v>8</v>
      </c>
      <c r="I11" s="55">
        <f t="shared" ref="I11:I40" si="2">IF(AND(D11="gp",F11=""),-(TRUNC(godz/1.5)+((godz/1.5)-TRUNC(godz/1.5))*60/100),IF(AND(D11="gp",F11&lt;&gt;"",G11&lt;&gt;""),ROUND(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+(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-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)*60/100,2),IF(OR((B11=83),(D11="w"),(D11="s"),(D11="c"),(D11="a"),(D11="oc"),(D11="um"),(D11="op"),(D11="uz"),(D11="u")),"",ROUND((TRUNC(H11-godz)+(((TRUNC(H11)*60)+(H11-TRUNC(H11))*100)-(godz*60)-(TRUNC(H11-godz)*60))/100),2))))</f>
        <v>0</v>
      </c>
      <c r="J11" s="56">
        <f t="shared" ref="J11:J40" si="3">IF(D11="gp",(TRUNC(I11)*60+(I11-TRUNC(I11))*100),IF(OR((I11=""),(B11=83)),"",IF((I11=0),0,TRUNC(H11-godz)*60+(((TRUNC(H11)*60)+(H11-TRUNC(H11))*100)-(godz*60)-(TRUNC(H11-godz)*60)))))</f>
        <v>0</v>
      </c>
      <c r="K11" s="57">
        <f>IF(OR((B11=83),(D11="w")),0,1)</f>
        <v>1</v>
      </c>
      <c r="L11" s="57">
        <f>IF(OR((D11="c"),(D11="u"),(D11="uz"),(D11="um"),(D11="op"),(D11="oc"),(D11="s")),1,0)</f>
        <v>0</v>
      </c>
      <c r="M11" s="58" t="str">
        <f t="shared" ref="M11:M40" si="4">IF(((((((TRUNC(G11)-1)-TRUNC(F11))*60)+((G11-TRUNC(G11))*100)+(60-(F11-TRUNC(F11))*100)))/100)&lt;pause2,"przerwa1","pause")</f>
        <v>przerwa1</v>
      </c>
      <c r="N11" s="57">
        <f>IF(OR((B11=83),(D11="w"),(D11="g"),(D11="c"),(D11="u"),(D11="uz"),(D11="op"),(D11="oc")),0,1)</f>
        <v>1</v>
      </c>
      <c r="O11" s="137"/>
      <c r="P11" s="149"/>
      <c r="Q11" s="138"/>
      <c r="R11" s="8"/>
      <c r="S11" s="60">
        <f t="shared" ref="S11:S41" si="5">IF(H11&lt;&gt;"",IF(D11="w",((TRUNC(H11)*60)+(H11-TRUNC(H11))*100),((TRUNC(H11)*60+(H11-TRUNC(H11))*100)-pause2*60-O11))," ")</f>
        <v>0</v>
      </c>
      <c r="T11" s="60" t="str">
        <f>IF(S11&gt;0,S11," ")</f>
        <v xml:space="preserve"> </v>
      </c>
      <c r="U11" s="60" t="str">
        <f>IF(S11&lt;0,S11," ")</f>
        <v xml:space="preserve"> </v>
      </c>
      <c r="W11">
        <f>IF(H11="",0,TRUNC(H11)*60)</f>
        <v>480</v>
      </c>
      <c r="X11">
        <f>IF(H11="",0,ROUND((H11-TRUNC(H11))*100,0)-O11)</f>
        <v>0</v>
      </c>
      <c r="Y11">
        <f>IF(D11="gp",(TRUNC(I11)*60+(I11-TRUNC(I11))*100),(IF(D11="g",(TRUNC(I11)*60+(I11-TRUNC(I11))*100),W11+X11)))</f>
        <v>480</v>
      </c>
      <c r="AD11" s="158">
        <f t="shared" ref="AD11:AD12" si="6">TRUNC(F11)</f>
        <v>7</v>
      </c>
      <c r="AE11" s="158">
        <f t="shared" ref="AE11:AE12" si="7">F11-TRUNC(F11)</f>
        <v>0</v>
      </c>
      <c r="AF11" s="64">
        <f t="shared" ref="AF11:AF12" si="8">IF(F11&lt;&gt;0,AD11+(AE11/0.6)," ")</f>
        <v>7</v>
      </c>
      <c r="AG11" s="169">
        <f t="shared" ref="AG11:AG12" si="9">TRUNC(G11)</f>
        <v>15</v>
      </c>
      <c r="AH11" s="169">
        <f t="shared" ref="AH11:AH12" si="10">G11-TRUNC(G11)</f>
        <v>0</v>
      </c>
      <c r="AI11" s="64">
        <f t="shared" ref="AI11:AI12" si="11">IF(G11&lt;&gt;0,AG11+(AH11/0.6)," ")</f>
        <v>15</v>
      </c>
      <c r="AJ11" s="169">
        <f t="shared" ref="AJ11:AJ12" si="12">IF(H11&lt;&gt;"",TRUNC(H11),"")</f>
        <v>8</v>
      </c>
      <c r="AK11" s="169">
        <f t="shared" ref="AK11:AK13" si="13">IF(H11&lt;&gt;"",H11-AJ11,"")</f>
        <v>0</v>
      </c>
      <c r="AL11" s="64">
        <f t="shared" ref="AL11:AL12" si="14">IF(H11&lt;&gt;"",AJ11+(AK11/0.6)," ")</f>
        <v>8</v>
      </c>
    </row>
    <row r="12" spans="1:38" ht="15.75" x14ac:dyDescent="0.25">
      <c r="A12" s="2">
        <f>(A11+1)</f>
        <v>46267</v>
      </c>
      <c r="B12" s="2">
        <f t="shared" ref="B12:B41" si="15">CODE(TEXT(A12,"TTTT"))</f>
        <v>84</v>
      </c>
      <c r="C12" s="54" t="str">
        <f t="shared" si="0"/>
        <v>02.9. środa</v>
      </c>
      <c r="D12" s="159"/>
      <c r="E12" s="117" t="str">
        <f t="shared" ref="E12:E40" si="16">IF(D12="w","wolne",IF(D12="u","urlop",IF(D12="c","choroba",IF(D12="g","godziny",IF(D12="a","nieobecny",IF(D12="op","opieka"," "))))))</f>
        <v xml:space="preserve"> </v>
      </c>
      <c r="F12" s="115">
        <v>7</v>
      </c>
      <c r="G12" s="115">
        <v>15</v>
      </c>
      <c r="H12" s="55">
        <f t="shared" si="1"/>
        <v>8</v>
      </c>
      <c r="I12" s="55">
        <f t="shared" si="2"/>
        <v>0</v>
      </c>
      <c r="J12" s="56">
        <f t="shared" si="3"/>
        <v>0</v>
      </c>
      <c r="K12" s="57">
        <f>IF(OR((B12=83),(D12="w")),0,1)</f>
        <v>1</v>
      </c>
      <c r="L12" s="57">
        <f t="shared" ref="L12:L40" si="17">IF(OR((D12="c"),(D12="u"),(D12="uz"),(D12="um"),(D12="op"),(D12="oc"),(D12="s")),1,0)</f>
        <v>0</v>
      </c>
      <c r="M12" s="58" t="str">
        <f t="shared" si="4"/>
        <v>przerwa1</v>
      </c>
      <c r="N12" s="57">
        <f t="shared" ref="N12:N40" si="18">IF(OR((B12=83),(D12="w"),(D12="g"),(D12="c"),(D12="u"),(D12="uz"),(D12="op"),(D12="oc")),0,1)</f>
        <v>1</v>
      </c>
      <c r="O12" s="138"/>
      <c r="P12" s="149"/>
      <c r="Q12" s="138"/>
      <c r="R12" s="8"/>
      <c r="S12" s="60">
        <f t="shared" si="5"/>
        <v>0</v>
      </c>
      <c r="T12" s="60" t="str">
        <f t="shared" ref="T12:T41" si="19">IF(S12&gt;0,S12," ")</f>
        <v xml:space="preserve"> </v>
      </c>
      <c r="U12" s="60" t="str">
        <f t="shared" ref="U12:U41" si="20">IF(S12&lt;0,S12," ")</f>
        <v xml:space="preserve"> </v>
      </c>
      <c r="W12">
        <f t="shared" ref="W12:W41" si="21">IF(H12="",0,TRUNC(H12)*60)</f>
        <v>480</v>
      </c>
      <c r="X12">
        <f t="shared" ref="X12:X41" si="22">IF(H12="",0,ROUND((H12-TRUNC(H12))*100,0)-O12)</f>
        <v>0</v>
      </c>
      <c r="Y12">
        <f t="shared" ref="Y12:Y41" si="23">IF(D12="gp",(TRUNC(I12)*60+(I12-TRUNC(I12))*100),(IF(D12="g",(TRUNC(I12)*60+(I12-TRUNC(I12))*100),W12+X12)))</f>
        <v>480</v>
      </c>
      <c r="AD12" s="158">
        <f t="shared" si="6"/>
        <v>7</v>
      </c>
      <c r="AE12" s="158">
        <f t="shared" si="7"/>
        <v>0</v>
      </c>
      <c r="AF12" s="64">
        <f t="shared" si="8"/>
        <v>7</v>
      </c>
      <c r="AG12" s="169">
        <f t="shared" si="9"/>
        <v>15</v>
      </c>
      <c r="AH12" s="169">
        <f t="shared" si="10"/>
        <v>0</v>
      </c>
      <c r="AI12" s="64">
        <f t="shared" si="11"/>
        <v>15</v>
      </c>
      <c r="AJ12" s="169">
        <f t="shared" si="12"/>
        <v>8</v>
      </c>
      <c r="AK12" s="169">
        <f t="shared" si="13"/>
        <v>0</v>
      </c>
      <c r="AL12" s="64">
        <f t="shared" si="14"/>
        <v>8</v>
      </c>
    </row>
    <row r="13" spans="1:38" ht="15.75" x14ac:dyDescent="0.25">
      <c r="A13" s="2">
        <f t="shared" ref="A13:A41" si="24">(A12+1)</f>
        <v>46268</v>
      </c>
      <c r="B13" s="2">
        <f t="shared" si="15"/>
        <v>84</v>
      </c>
      <c r="C13" s="54" t="str">
        <f t="shared" si="0"/>
        <v>03.9. czwartek</v>
      </c>
      <c r="D13" s="159"/>
      <c r="E13" s="117" t="str">
        <f t="shared" si="16"/>
        <v xml:space="preserve"> </v>
      </c>
      <c r="F13" s="115">
        <v>7</v>
      </c>
      <c r="G13" s="115">
        <v>15</v>
      </c>
      <c r="H13" s="55">
        <f t="shared" si="1"/>
        <v>8</v>
      </c>
      <c r="I13" s="55">
        <f t="shared" si="2"/>
        <v>0</v>
      </c>
      <c r="J13" s="56">
        <f t="shared" si="3"/>
        <v>0</v>
      </c>
      <c r="K13" s="57">
        <f>IF(OR((B13=83),(D13="w")),0,1)</f>
        <v>1</v>
      </c>
      <c r="L13" s="57">
        <f t="shared" si="17"/>
        <v>0</v>
      </c>
      <c r="M13" s="58" t="str">
        <f t="shared" si="4"/>
        <v>przerwa1</v>
      </c>
      <c r="N13" s="57">
        <f t="shared" si="18"/>
        <v>1</v>
      </c>
      <c r="O13" s="138"/>
      <c r="P13" s="149"/>
      <c r="Q13" s="138"/>
      <c r="R13" s="8"/>
      <c r="S13" s="60">
        <f t="shared" si="5"/>
        <v>0</v>
      </c>
      <c r="T13" s="60" t="str">
        <f t="shared" si="19"/>
        <v xml:space="preserve"> </v>
      </c>
      <c r="U13" s="60" t="str">
        <f t="shared" si="20"/>
        <v xml:space="preserve"> </v>
      </c>
      <c r="W13">
        <f t="shared" si="21"/>
        <v>480</v>
      </c>
      <c r="X13">
        <f t="shared" si="22"/>
        <v>0</v>
      </c>
      <c r="Y13">
        <f t="shared" si="23"/>
        <v>480</v>
      </c>
      <c r="AD13" s="158">
        <f>TRUNC(F13)</f>
        <v>7</v>
      </c>
      <c r="AE13" s="158">
        <f>F13-TRUNC(F13)</f>
        <v>0</v>
      </c>
      <c r="AF13" s="64">
        <f>IF(F13&lt;&gt;0,AD13+(AE13/0.6)," ")</f>
        <v>7</v>
      </c>
      <c r="AG13" s="169">
        <f>TRUNC(G13)</f>
        <v>15</v>
      </c>
      <c r="AH13" s="169">
        <f>G13-TRUNC(G13)</f>
        <v>0</v>
      </c>
      <c r="AI13" s="64">
        <f>IF(G13&lt;&gt;0,AG13+(AH13/0.6)," ")</f>
        <v>15</v>
      </c>
      <c r="AJ13" s="169">
        <f>IF(H13&lt;&gt;"",TRUNC(H13),"")</f>
        <v>8</v>
      </c>
      <c r="AK13" s="169">
        <f t="shared" si="13"/>
        <v>0</v>
      </c>
      <c r="AL13" s="64">
        <f>IF(H13&lt;&gt;"",AJ13+(AK13/0.6)," ")</f>
        <v>8</v>
      </c>
    </row>
    <row r="14" spans="1:38" ht="15.75" x14ac:dyDescent="0.25">
      <c r="A14" s="2">
        <f t="shared" si="24"/>
        <v>46269</v>
      </c>
      <c r="B14" s="2">
        <f t="shared" si="15"/>
        <v>84</v>
      </c>
      <c r="C14" s="54" t="str">
        <f t="shared" si="0"/>
        <v>04.9. piątek</v>
      </c>
      <c r="D14" s="159"/>
      <c r="E14" s="117" t="str">
        <f t="shared" si="16"/>
        <v xml:space="preserve"> </v>
      </c>
      <c r="F14" s="115">
        <v>7</v>
      </c>
      <c r="G14" s="115">
        <v>15</v>
      </c>
      <c r="H14" s="55">
        <f t="shared" si="1"/>
        <v>8</v>
      </c>
      <c r="I14" s="55">
        <f t="shared" si="2"/>
        <v>0</v>
      </c>
      <c r="J14" s="56">
        <f t="shared" si="3"/>
        <v>0</v>
      </c>
      <c r="K14" s="57">
        <f>IF(OR((B14=83),(D14="w")),0,1)</f>
        <v>1</v>
      </c>
      <c r="L14" s="57">
        <f t="shared" si="17"/>
        <v>0</v>
      </c>
      <c r="M14" s="58" t="str">
        <f t="shared" si="4"/>
        <v>przerwa1</v>
      </c>
      <c r="N14" s="57">
        <f t="shared" si="18"/>
        <v>1</v>
      </c>
      <c r="O14" s="138"/>
      <c r="P14" s="149"/>
      <c r="Q14" s="138"/>
      <c r="R14" s="8"/>
      <c r="S14" s="60">
        <f t="shared" si="5"/>
        <v>0</v>
      </c>
      <c r="T14" s="60" t="str">
        <f t="shared" si="19"/>
        <v xml:space="preserve"> </v>
      </c>
      <c r="U14" s="60" t="str">
        <f t="shared" si="20"/>
        <v xml:space="preserve"> </v>
      </c>
      <c r="W14">
        <f t="shared" si="21"/>
        <v>480</v>
      </c>
      <c r="X14">
        <f t="shared" si="22"/>
        <v>0</v>
      </c>
      <c r="Y14">
        <f t="shared" si="23"/>
        <v>480</v>
      </c>
      <c r="AD14" s="158">
        <f t="shared" ref="AD14:AD41" si="25">TRUNC(F14)</f>
        <v>7</v>
      </c>
      <c r="AE14" s="158">
        <f t="shared" ref="AE14:AE41" si="26">F14-TRUNC(F14)</f>
        <v>0</v>
      </c>
      <c r="AF14" s="64">
        <f t="shared" ref="AF14:AF41" si="27">IF(F14&lt;&gt;0,AD14+(AE14/0.6)," ")</f>
        <v>7</v>
      </c>
      <c r="AG14" s="169">
        <f t="shared" ref="AG14:AG41" si="28">TRUNC(G14)</f>
        <v>15</v>
      </c>
      <c r="AH14" s="169">
        <f t="shared" ref="AH14:AH41" si="29">G14-TRUNC(G14)</f>
        <v>0</v>
      </c>
      <c r="AI14" s="64">
        <f t="shared" ref="AI14:AI41" si="30">IF(G14&lt;&gt;0,AG14+(AH14/0.6)," ")</f>
        <v>15</v>
      </c>
      <c r="AJ14" s="169">
        <f t="shared" ref="AJ14:AJ41" si="31">IF(H14&lt;&gt;"",TRUNC(H14),"")</f>
        <v>8</v>
      </c>
      <c r="AK14" s="169">
        <f t="shared" ref="AK14:AK41" si="32">IF(H14&lt;&gt;"",H14-AJ14,"")</f>
        <v>0</v>
      </c>
      <c r="AL14" s="64">
        <f t="shared" ref="AL14:AL41" si="33">IF(H14&lt;&gt;"",AJ14+(AK14/0.6)," ")</f>
        <v>8</v>
      </c>
    </row>
    <row r="15" spans="1:38" ht="15.75" x14ac:dyDescent="0.25">
      <c r="A15" s="2">
        <f t="shared" si="24"/>
        <v>46270</v>
      </c>
      <c r="B15" s="2">
        <f t="shared" si="15"/>
        <v>84</v>
      </c>
      <c r="C15" s="54" t="str">
        <f t="shared" si="0"/>
        <v>05.9. sobota</v>
      </c>
      <c r="D15" s="159" t="s">
        <v>47</v>
      </c>
      <c r="E15" s="117" t="str">
        <f t="shared" si="16"/>
        <v>wolne</v>
      </c>
      <c r="F15" s="115"/>
      <c r="G15" s="115"/>
      <c r="H15" s="55" t="str">
        <f t="shared" si="1"/>
        <v/>
      </c>
      <c r="I15" s="55" t="str">
        <f t="shared" si="2"/>
        <v/>
      </c>
      <c r="J15" s="56" t="str">
        <f t="shared" si="3"/>
        <v/>
      </c>
      <c r="K15" s="57">
        <f t="shared" ref="K15:K42" si="34">IF(OR((B15=83),(D15="w")),0,1)</f>
        <v>0</v>
      </c>
      <c r="L15" s="57">
        <f t="shared" si="17"/>
        <v>0</v>
      </c>
      <c r="M15" s="58" t="str">
        <f t="shared" si="4"/>
        <v>przerwa1</v>
      </c>
      <c r="N15" s="57">
        <f t="shared" si="18"/>
        <v>0</v>
      </c>
      <c r="O15" s="138"/>
      <c r="P15" s="149"/>
      <c r="Q15" s="138"/>
      <c r="R15" s="8"/>
      <c r="S15" s="60" t="str">
        <f t="shared" si="5"/>
        <v xml:space="preserve"> </v>
      </c>
      <c r="T15" s="60" t="str">
        <f t="shared" si="19"/>
        <v xml:space="preserve"> </v>
      </c>
      <c r="U15" s="60" t="str">
        <f t="shared" si="20"/>
        <v xml:space="preserve"> </v>
      </c>
      <c r="W15">
        <f t="shared" si="21"/>
        <v>0</v>
      </c>
      <c r="X15">
        <f t="shared" si="22"/>
        <v>0</v>
      </c>
      <c r="Y15">
        <f t="shared" si="23"/>
        <v>0</v>
      </c>
      <c r="AD15" s="158">
        <f t="shared" si="25"/>
        <v>0</v>
      </c>
      <c r="AE15" s="158">
        <f t="shared" si="26"/>
        <v>0</v>
      </c>
      <c r="AF15" s="64" t="str">
        <f t="shared" si="27"/>
        <v xml:space="preserve"> </v>
      </c>
      <c r="AG15" s="169">
        <f t="shared" si="28"/>
        <v>0</v>
      </c>
      <c r="AH15" s="169">
        <f t="shared" si="29"/>
        <v>0</v>
      </c>
      <c r="AI15" s="64" t="str">
        <f t="shared" si="30"/>
        <v xml:space="preserve"> </v>
      </c>
      <c r="AJ15" s="169" t="str">
        <f t="shared" si="31"/>
        <v/>
      </c>
      <c r="AK15" s="169" t="str">
        <f t="shared" si="32"/>
        <v/>
      </c>
      <c r="AL15" s="64" t="str">
        <f t="shared" si="33"/>
        <v xml:space="preserve"> </v>
      </c>
    </row>
    <row r="16" spans="1:38" ht="15.75" x14ac:dyDescent="0.25">
      <c r="A16" s="2">
        <f t="shared" si="24"/>
        <v>46271</v>
      </c>
      <c r="B16" s="2">
        <f t="shared" si="15"/>
        <v>84</v>
      </c>
      <c r="C16" s="54" t="str">
        <f t="shared" si="0"/>
        <v>06.9. niedziela</v>
      </c>
      <c r="D16" s="159" t="s">
        <v>47</v>
      </c>
      <c r="E16" s="117" t="str">
        <f t="shared" si="16"/>
        <v>wolne</v>
      </c>
      <c r="F16" s="115"/>
      <c r="G16" s="115"/>
      <c r="H16" s="55" t="str">
        <f t="shared" si="1"/>
        <v/>
      </c>
      <c r="I16" s="55" t="str">
        <f t="shared" si="2"/>
        <v/>
      </c>
      <c r="J16" s="56" t="str">
        <f t="shared" si="3"/>
        <v/>
      </c>
      <c r="K16" s="57">
        <f t="shared" si="34"/>
        <v>0</v>
      </c>
      <c r="L16" s="57">
        <f t="shared" si="17"/>
        <v>0</v>
      </c>
      <c r="M16" s="58" t="str">
        <f t="shared" si="4"/>
        <v>przerwa1</v>
      </c>
      <c r="N16" s="57">
        <f t="shared" si="18"/>
        <v>0</v>
      </c>
      <c r="O16" s="138"/>
      <c r="P16" s="149"/>
      <c r="Q16" s="138"/>
      <c r="R16" s="8"/>
      <c r="S16" s="60" t="str">
        <f t="shared" si="5"/>
        <v xml:space="preserve"> </v>
      </c>
      <c r="T16" s="60" t="str">
        <f t="shared" si="19"/>
        <v xml:space="preserve"> </v>
      </c>
      <c r="U16" s="60" t="str">
        <f t="shared" si="20"/>
        <v xml:space="preserve"> </v>
      </c>
      <c r="W16">
        <f t="shared" si="21"/>
        <v>0</v>
      </c>
      <c r="X16">
        <f t="shared" si="22"/>
        <v>0</v>
      </c>
      <c r="Y16">
        <f t="shared" si="23"/>
        <v>0</v>
      </c>
      <c r="AD16" s="158">
        <f t="shared" si="25"/>
        <v>0</v>
      </c>
      <c r="AE16" s="158">
        <f t="shared" si="26"/>
        <v>0</v>
      </c>
      <c r="AF16" s="64" t="str">
        <f t="shared" si="27"/>
        <v xml:space="preserve"> </v>
      </c>
      <c r="AG16" s="169">
        <f t="shared" si="28"/>
        <v>0</v>
      </c>
      <c r="AH16" s="169">
        <f t="shared" si="29"/>
        <v>0</v>
      </c>
      <c r="AI16" s="64" t="str">
        <f t="shared" si="30"/>
        <v xml:space="preserve"> </v>
      </c>
      <c r="AJ16" s="169" t="str">
        <f t="shared" si="31"/>
        <v/>
      </c>
      <c r="AK16" s="169" t="str">
        <f t="shared" si="32"/>
        <v/>
      </c>
      <c r="AL16" s="64" t="str">
        <f t="shared" si="33"/>
        <v xml:space="preserve"> </v>
      </c>
    </row>
    <row r="17" spans="1:38" ht="15.75" x14ac:dyDescent="0.25">
      <c r="A17" s="2">
        <f t="shared" si="24"/>
        <v>46272</v>
      </c>
      <c r="B17" s="2">
        <f t="shared" si="15"/>
        <v>84</v>
      </c>
      <c r="C17" s="54" t="str">
        <f t="shared" si="0"/>
        <v>07.9. poniedziałek</v>
      </c>
      <c r="D17" s="159"/>
      <c r="E17" s="117" t="str">
        <f t="shared" si="16"/>
        <v xml:space="preserve"> </v>
      </c>
      <c r="F17" s="115">
        <v>7</v>
      </c>
      <c r="G17" s="115">
        <v>15</v>
      </c>
      <c r="H17" s="55">
        <f t="shared" si="1"/>
        <v>8</v>
      </c>
      <c r="I17" s="55">
        <f t="shared" si="2"/>
        <v>0</v>
      </c>
      <c r="J17" s="56">
        <f t="shared" si="3"/>
        <v>0</v>
      </c>
      <c r="K17" s="57">
        <f t="shared" si="34"/>
        <v>1</v>
      </c>
      <c r="L17" s="57">
        <f t="shared" si="17"/>
        <v>0</v>
      </c>
      <c r="M17" s="58" t="str">
        <f t="shared" si="4"/>
        <v>przerwa1</v>
      </c>
      <c r="N17" s="57">
        <f t="shared" si="18"/>
        <v>1</v>
      </c>
      <c r="O17" s="138"/>
      <c r="P17" s="149"/>
      <c r="Q17" s="138"/>
      <c r="R17" s="8"/>
      <c r="S17" s="60">
        <f t="shared" si="5"/>
        <v>0</v>
      </c>
      <c r="T17" s="60" t="str">
        <f t="shared" si="19"/>
        <v xml:space="preserve"> </v>
      </c>
      <c r="U17" s="60" t="str">
        <f t="shared" si="20"/>
        <v xml:space="preserve"> </v>
      </c>
      <c r="W17">
        <f t="shared" si="21"/>
        <v>480</v>
      </c>
      <c r="X17">
        <f t="shared" si="22"/>
        <v>0</v>
      </c>
      <c r="Y17">
        <f t="shared" si="23"/>
        <v>480</v>
      </c>
      <c r="AD17" s="158">
        <f t="shared" si="25"/>
        <v>7</v>
      </c>
      <c r="AE17" s="158">
        <f t="shared" si="26"/>
        <v>0</v>
      </c>
      <c r="AF17" s="64">
        <f t="shared" si="27"/>
        <v>7</v>
      </c>
      <c r="AG17" s="169">
        <f t="shared" si="28"/>
        <v>15</v>
      </c>
      <c r="AH17" s="169">
        <f t="shared" si="29"/>
        <v>0</v>
      </c>
      <c r="AI17" s="64">
        <f t="shared" si="30"/>
        <v>15</v>
      </c>
      <c r="AJ17" s="169">
        <f t="shared" si="31"/>
        <v>8</v>
      </c>
      <c r="AK17" s="169">
        <f t="shared" si="32"/>
        <v>0</v>
      </c>
      <c r="AL17" s="64">
        <f t="shared" si="33"/>
        <v>8</v>
      </c>
    </row>
    <row r="18" spans="1:38" ht="15.75" x14ac:dyDescent="0.25">
      <c r="A18" s="2">
        <f t="shared" si="24"/>
        <v>46273</v>
      </c>
      <c r="B18" s="2">
        <f t="shared" si="15"/>
        <v>84</v>
      </c>
      <c r="C18" s="54" t="str">
        <f t="shared" si="0"/>
        <v>08.9. wtorek</v>
      </c>
      <c r="D18" s="159"/>
      <c r="E18" s="117" t="str">
        <f t="shared" si="16"/>
        <v xml:space="preserve"> </v>
      </c>
      <c r="F18" s="115">
        <v>7</v>
      </c>
      <c r="G18" s="115">
        <v>15</v>
      </c>
      <c r="H18" s="55">
        <f t="shared" si="1"/>
        <v>8</v>
      </c>
      <c r="I18" s="55">
        <f t="shared" si="2"/>
        <v>0</v>
      </c>
      <c r="J18" s="56">
        <f t="shared" si="3"/>
        <v>0</v>
      </c>
      <c r="K18" s="57">
        <f t="shared" si="34"/>
        <v>1</v>
      </c>
      <c r="L18" s="57">
        <f t="shared" si="17"/>
        <v>0</v>
      </c>
      <c r="M18" s="58" t="str">
        <f t="shared" si="4"/>
        <v>przerwa1</v>
      </c>
      <c r="N18" s="57">
        <f t="shared" si="18"/>
        <v>1</v>
      </c>
      <c r="O18" s="138"/>
      <c r="P18" s="149"/>
      <c r="Q18" s="138"/>
      <c r="R18" s="8"/>
      <c r="S18" s="60">
        <f t="shared" si="5"/>
        <v>0</v>
      </c>
      <c r="T18" s="60" t="str">
        <f t="shared" si="19"/>
        <v xml:space="preserve"> </v>
      </c>
      <c r="U18" s="60" t="str">
        <f t="shared" si="20"/>
        <v xml:space="preserve"> </v>
      </c>
      <c r="W18">
        <f t="shared" si="21"/>
        <v>480</v>
      </c>
      <c r="X18">
        <f t="shared" si="22"/>
        <v>0</v>
      </c>
      <c r="Y18">
        <f t="shared" si="23"/>
        <v>480</v>
      </c>
      <c r="AD18" s="158">
        <f t="shared" si="25"/>
        <v>7</v>
      </c>
      <c r="AE18" s="158">
        <f t="shared" si="26"/>
        <v>0</v>
      </c>
      <c r="AF18" s="64">
        <f t="shared" si="27"/>
        <v>7</v>
      </c>
      <c r="AG18" s="169">
        <f t="shared" si="28"/>
        <v>15</v>
      </c>
      <c r="AH18" s="169">
        <f t="shared" si="29"/>
        <v>0</v>
      </c>
      <c r="AI18" s="64">
        <f t="shared" si="30"/>
        <v>15</v>
      </c>
      <c r="AJ18" s="169">
        <f t="shared" si="31"/>
        <v>8</v>
      </c>
      <c r="AK18" s="169">
        <f t="shared" si="32"/>
        <v>0</v>
      </c>
      <c r="AL18" s="64">
        <f t="shared" si="33"/>
        <v>8</v>
      </c>
    </row>
    <row r="19" spans="1:38" ht="15.75" x14ac:dyDescent="0.25">
      <c r="A19" s="2">
        <f t="shared" si="24"/>
        <v>46274</v>
      </c>
      <c r="B19" s="2">
        <f t="shared" si="15"/>
        <v>84</v>
      </c>
      <c r="C19" s="54" t="str">
        <f t="shared" si="0"/>
        <v>09.9. środa</v>
      </c>
      <c r="D19" s="159"/>
      <c r="E19" s="117" t="str">
        <f t="shared" si="16"/>
        <v xml:space="preserve"> </v>
      </c>
      <c r="F19" s="115">
        <v>7</v>
      </c>
      <c r="G19" s="115">
        <v>15</v>
      </c>
      <c r="H19" s="55">
        <f t="shared" si="1"/>
        <v>8</v>
      </c>
      <c r="I19" s="55">
        <f t="shared" si="2"/>
        <v>0</v>
      </c>
      <c r="J19" s="56">
        <f t="shared" si="3"/>
        <v>0</v>
      </c>
      <c r="K19" s="57">
        <f t="shared" si="34"/>
        <v>1</v>
      </c>
      <c r="L19" s="57">
        <f t="shared" si="17"/>
        <v>0</v>
      </c>
      <c r="M19" s="58" t="str">
        <f t="shared" si="4"/>
        <v>przerwa1</v>
      </c>
      <c r="N19" s="57">
        <f t="shared" si="18"/>
        <v>1</v>
      </c>
      <c r="O19" s="138"/>
      <c r="P19" s="149"/>
      <c r="Q19" s="138"/>
      <c r="R19" s="8"/>
      <c r="S19" s="60">
        <f t="shared" si="5"/>
        <v>0</v>
      </c>
      <c r="T19" s="60" t="str">
        <f t="shared" si="19"/>
        <v xml:space="preserve"> </v>
      </c>
      <c r="U19" s="60" t="str">
        <f t="shared" si="20"/>
        <v xml:space="preserve"> </v>
      </c>
      <c r="W19">
        <f t="shared" si="21"/>
        <v>480</v>
      </c>
      <c r="X19">
        <f t="shared" si="22"/>
        <v>0</v>
      </c>
      <c r="Y19">
        <f t="shared" si="23"/>
        <v>480</v>
      </c>
      <c r="AD19" s="158">
        <f t="shared" si="25"/>
        <v>7</v>
      </c>
      <c r="AE19" s="158">
        <f t="shared" si="26"/>
        <v>0</v>
      </c>
      <c r="AF19" s="64">
        <f t="shared" si="27"/>
        <v>7</v>
      </c>
      <c r="AG19" s="169">
        <f t="shared" si="28"/>
        <v>15</v>
      </c>
      <c r="AH19" s="169">
        <f t="shared" si="29"/>
        <v>0</v>
      </c>
      <c r="AI19" s="64">
        <f t="shared" si="30"/>
        <v>15</v>
      </c>
      <c r="AJ19" s="169">
        <f t="shared" si="31"/>
        <v>8</v>
      </c>
      <c r="AK19" s="169">
        <f t="shared" si="32"/>
        <v>0</v>
      </c>
      <c r="AL19" s="64">
        <f t="shared" si="33"/>
        <v>8</v>
      </c>
    </row>
    <row r="20" spans="1:38" ht="15.75" x14ac:dyDescent="0.25">
      <c r="A20" s="2">
        <f t="shared" si="24"/>
        <v>46275</v>
      </c>
      <c r="B20" s="2">
        <f t="shared" si="15"/>
        <v>84</v>
      </c>
      <c r="C20" s="54" t="str">
        <f t="shared" si="0"/>
        <v>10.9. czwartek</v>
      </c>
      <c r="D20" s="159"/>
      <c r="E20" s="117" t="str">
        <f t="shared" si="16"/>
        <v xml:space="preserve"> </v>
      </c>
      <c r="F20" s="115">
        <v>7</v>
      </c>
      <c r="G20" s="115">
        <v>15</v>
      </c>
      <c r="H20" s="55">
        <f t="shared" si="1"/>
        <v>8</v>
      </c>
      <c r="I20" s="55">
        <f t="shared" si="2"/>
        <v>0</v>
      </c>
      <c r="J20" s="56">
        <f t="shared" si="3"/>
        <v>0</v>
      </c>
      <c r="K20" s="57">
        <f t="shared" si="34"/>
        <v>1</v>
      </c>
      <c r="L20" s="57">
        <f t="shared" si="17"/>
        <v>0</v>
      </c>
      <c r="M20" s="58" t="str">
        <f t="shared" si="4"/>
        <v>przerwa1</v>
      </c>
      <c r="N20" s="57">
        <f t="shared" si="18"/>
        <v>1</v>
      </c>
      <c r="O20" s="138"/>
      <c r="P20" s="149"/>
      <c r="Q20" s="138"/>
      <c r="R20" s="8"/>
      <c r="S20" s="60">
        <f t="shared" si="5"/>
        <v>0</v>
      </c>
      <c r="T20" s="60" t="str">
        <f t="shared" si="19"/>
        <v xml:space="preserve"> </v>
      </c>
      <c r="U20" s="60" t="str">
        <f t="shared" si="20"/>
        <v xml:space="preserve"> </v>
      </c>
      <c r="W20">
        <f t="shared" si="21"/>
        <v>480</v>
      </c>
      <c r="X20">
        <f t="shared" si="22"/>
        <v>0</v>
      </c>
      <c r="Y20">
        <f t="shared" si="23"/>
        <v>480</v>
      </c>
      <c r="AD20" s="158">
        <f t="shared" si="25"/>
        <v>7</v>
      </c>
      <c r="AE20" s="158">
        <f t="shared" si="26"/>
        <v>0</v>
      </c>
      <c r="AF20" s="64">
        <f t="shared" si="27"/>
        <v>7</v>
      </c>
      <c r="AG20" s="169">
        <f t="shared" si="28"/>
        <v>15</v>
      </c>
      <c r="AH20" s="169">
        <f t="shared" si="29"/>
        <v>0</v>
      </c>
      <c r="AI20" s="64">
        <f t="shared" si="30"/>
        <v>15</v>
      </c>
      <c r="AJ20" s="169">
        <f t="shared" si="31"/>
        <v>8</v>
      </c>
      <c r="AK20" s="169">
        <f>IF(H20&lt;&gt;"",H20-AJ20,"")</f>
        <v>0</v>
      </c>
      <c r="AL20" s="64">
        <f t="shared" si="33"/>
        <v>8</v>
      </c>
    </row>
    <row r="21" spans="1:38" ht="15.75" x14ac:dyDescent="0.25">
      <c r="A21" s="2">
        <f t="shared" si="24"/>
        <v>46276</v>
      </c>
      <c r="B21" s="2">
        <f t="shared" si="15"/>
        <v>84</v>
      </c>
      <c r="C21" s="54" t="str">
        <f t="shared" si="0"/>
        <v>11.9. piątek</v>
      </c>
      <c r="D21" s="159"/>
      <c r="E21" s="117" t="str">
        <f t="shared" si="16"/>
        <v xml:space="preserve"> </v>
      </c>
      <c r="F21" s="115">
        <v>7</v>
      </c>
      <c r="G21" s="115">
        <v>15</v>
      </c>
      <c r="H21" s="55">
        <f t="shared" si="1"/>
        <v>8</v>
      </c>
      <c r="I21" s="55">
        <f t="shared" si="2"/>
        <v>0</v>
      </c>
      <c r="J21" s="56">
        <f t="shared" si="3"/>
        <v>0</v>
      </c>
      <c r="K21" s="57">
        <f t="shared" si="34"/>
        <v>1</v>
      </c>
      <c r="L21" s="57">
        <f t="shared" si="17"/>
        <v>0</v>
      </c>
      <c r="M21" s="58" t="str">
        <f t="shared" si="4"/>
        <v>przerwa1</v>
      </c>
      <c r="N21" s="57">
        <f t="shared" si="18"/>
        <v>1</v>
      </c>
      <c r="O21" s="138"/>
      <c r="P21" s="149"/>
      <c r="Q21" s="138"/>
      <c r="R21" s="8"/>
      <c r="S21" s="60">
        <f t="shared" si="5"/>
        <v>0</v>
      </c>
      <c r="T21" s="60" t="str">
        <f t="shared" si="19"/>
        <v xml:space="preserve"> </v>
      </c>
      <c r="U21" s="60" t="str">
        <f t="shared" si="20"/>
        <v xml:space="preserve"> </v>
      </c>
      <c r="W21">
        <f t="shared" si="21"/>
        <v>480</v>
      </c>
      <c r="X21">
        <f t="shared" si="22"/>
        <v>0</v>
      </c>
      <c r="Y21">
        <f t="shared" si="23"/>
        <v>480</v>
      </c>
      <c r="AD21" s="158">
        <f t="shared" si="25"/>
        <v>7</v>
      </c>
      <c r="AE21" s="158">
        <f t="shared" si="26"/>
        <v>0</v>
      </c>
      <c r="AF21" s="64">
        <f t="shared" si="27"/>
        <v>7</v>
      </c>
      <c r="AG21" s="169">
        <f t="shared" si="28"/>
        <v>15</v>
      </c>
      <c r="AH21" s="169">
        <f t="shared" si="29"/>
        <v>0</v>
      </c>
      <c r="AI21" s="64">
        <f t="shared" si="30"/>
        <v>15</v>
      </c>
      <c r="AJ21" s="169">
        <f t="shared" si="31"/>
        <v>8</v>
      </c>
      <c r="AK21" s="169">
        <f t="shared" si="32"/>
        <v>0</v>
      </c>
      <c r="AL21" s="64">
        <f t="shared" si="33"/>
        <v>8</v>
      </c>
    </row>
    <row r="22" spans="1:38" ht="15.75" x14ac:dyDescent="0.25">
      <c r="A22" s="2">
        <f t="shared" si="24"/>
        <v>46277</v>
      </c>
      <c r="B22" s="2">
        <f t="shared" si="15"/>
        <v>84</v>
      </c>
      <c r="C22" s="54" t="str">
        <f t="shared" si="0"/>
        <v>12.9. sobota</v>
      </c>
      <c r="D22" s="159" t="s">
        <v>47</v>
      </c>
      <c r="E22" s="117" t="str">
        <f t="shared" si="16"/>
        <v>wolne</v>
      </c>
      <c r="F22" s="115"/>
      <c r="G22" s="115"/>
      <c r="H22" s="55" t="str">
        <f t="shared" si="1"/>
        <v/>
      </c>
      <c r="I22" s="55" t="str">
        <f t="shared" si="2"/>
        <v/>
      </c>
      <c r="J22" s="56" t="str">
        <f t="shared" si="3"/>
        <v/>
      </c>
      <c r="K22" s="57">
        <f t="shared" si="34"/>
        <v>0</v>
      </c>
      <c r="L22" s="57">
        <f t="shared" si="17"/>
        <v>0</v>
      </c>
      <c r="M22" s="58" t="str">
        <f t="shared" si="4"/>
        <v>przerwa1</v>
      </c>
      <c r="N22" s="57">
        <f t="shared" si="18"/>
        <v>0</v>
      </c>
      <c r="O22" s="138"/>
      <c r="P22" s="149"/>
      <c r="Q22" s="138"/>
      <c r="R22" s="8"/>
      <c r="S22" s="60" t="str">
        <f t="shared" si="5"/>
        <v xml:space="preserve"> </v>
      </c>
      <c r="T22" s="60" t="str">
        <f t="shared" si="19"/>
        <v xml:space="preserve"> </v>
      </c>
      <c r="U22" s="60" t="str">
        <f t="shared" si="20"/>
        <v xml:space="preserve"> </v>
      </c>
      <c r="W22">
        <f t="shared" si="21"/>
        <v>0</v>
      </c>
      <c r="X22">
        <f t="shared" si="22"/>
        <v>0</v>
      </c>
      <c r="Y22">
        <f t="shared" si="23"/>
        <v>0</v>
      </c>
      <c r="AD22" s="158">
        <f t="shared" si="25"/>
        <v>0</v>
      </c>
      <c r="AE22" s="158">
        <f t="shared" si="26"/>
        <v>0</v>
      </c>
      <c r="AF22" s="64" t="str">
        <f t="shared" si="27"/>
        <v xml:space="preserve"> </v>
      </c>
      <c r="AG22" s="169">
        <f t="shared" si="28"/>
        <v>0</v>
      </c>
      <c r="AH22" s="169">
        <f t="shared" si="29"/>
        <v>0</v>
      </c>
      <c r="AI22" s="64" t="str">
        <f t="shared" si="30"/>
        <v xml:space="preserve"> </v>
      </c>
      <c r="AJ22" s="169" t="str">
        <f t="shared" si="31"/>
        <v/>
      </c>
      <c r="AK22" s="169" t="str">
        <f t="shared" si="32"/>
        <v/>
      </c>
      <c r="AL22" s="64" t="str">
        <f t="shared" si="33"/>
        <v xml:space="preserve"> </v>
      </c>
    </row>
    <row r="23" spans="1:38" ht="15.75" x14ac:dyDescent="0.25">
      <c r="A23" s="2">
        <f t="shared" si="24"/>
        <v>46278</v>
      </c>
      <c r="B23" s="2">
        <f t="shared" si="15"/>
        <v>84</v>
      </c>
      <c r="C23" s="54" t="str">
        <f t="shared" si="0"/>
        <v>13.9. niedziela</v>
      </c>
      <c r="D23" s="159" t="s">
        <v>47</v>
      </c>
      <c r="E23" s="117" t="str">
        <f t="shared" si="16"/>
        <v>wolne</v>
      </c>
      <c r="F23" s="115"/>
      <c r="G23" s="115"/>
      <c r="H23" s="55" t="str">
        <f t="shared" si="1"/>
        <v/>
      </c>
      <c r="I23" s="55" t="str">
        <f t="shared" si="2"/>
        <v/>
      </c>
      <c r="J23" s="56" t="str">
        <f t="shared" si="3"/>
        <v/>
      </c>
      <c r="K23" s="57">
        <f t="shared" si="34"/>
        <v>0</v>
      </c>
      <c r="L23" s="57">
        <f t="shared" si="17"/>
        <v>0</v>
      </c>
      <c r="M23" s="58" t="str">
        <f t="shared" si="4"/>
        <v>przerwa1</v>
      </c>
      <c r="N23" s="57">
        <f t="shared" si="18"/>
        <v>0</v>
      </c>
      <c r="O23" s="138"/>
      <c r="P23" s="149"/>
      <c r="Q23" s="138"/>
      <c r="R23" s="8"/>
      <c r="S23" s="60" t="str">
        <f t="shared" si="5"/>
        <v xml:space="preserve"> </v>
      </c>
      <c r="T23" s="60" t="str">
        <f t="shared" si="19"/>
        <v xml:space="preserve"> </v>
      </c>
      <c r="U23" s="60" t="str">
        <f t="shared" si="20"/>
        <v xml:space="preserve"> </v>
      </c>
      <c r="W23">
        <f t="shared" si="21"/>
        <v>0</v>
      </c>
      <c r="X23">
        <f t="shared" si="22"/>
        <v>0</v>
      </c>
      <c r="Y23">
        <f t="shared" si="23"/>
        <v>0</v>
      </c>
      <c r="AD23" s="158">
        <f t="shared" si="25"/>
        <v>0</v>
      </c>
      <c r="AE23" s="158">
        <f t="shared" si="26"/>
        <v>0</v>
      </c>
      <c r="AF23" s="64" t="str">
        <f t="shared" si="27"/>
        <v xml:space="preserve"> </v>
      </c>
      <c r="AG23" s="169">
        <f t="shared" si="28"/>
        <v>0</v>
      </c>
      <c r="AH23" s="169">
        <f t="shared" si="29"/>
        <v>0</v>
      </c>
      <c r="AI23" s="64" t="str">
        <f t="shared" si="30"/>
        <v xml:space="preserve"> </v>
      </c>
      <c r="AJ23" s="169" t="str">
        <f t="shared" si="31"/>
        <v/>
      </c>
      <c r="AK23" s="169" t="str">
        <f t="shared" si="32"/>
        <v/>
      </c>
      <c r="AL23" s="64" t="str">
        <f t="shared" si="33"/>
        <v xml:space="preserve"> </v>
      </c>
    </row>
    <row r="24" spans="1:38" ht="15.75" x14ac:dyDescent="0.25">
      <c r="A24" s="2">
        <f t="shared" si="24"/>
        <v>46279</v>
      </c>
      <c r="B24" s="2">
        <f t="shared" si="15"/>
        <v>84</v>
      </c>
      <c r="C24" s="54" t="str">
        <f t="shared" si="0"/>
        <v>14.9. poniedziałek</v>
      </c>
      <c r="D24" s="159"/>
      <c r="E24" s="117" t="str">
        <f t="shared" si="16"/>
        <v xml:space="preserve"> </v>
      </c>
      <c r="F24" s="115">
        <v>7</v>
      </c>
      <c r="G24" s="115">
        <v>15</v>
      </c>
      <c r="H24" s="55">
        <f t="shared" si="1"/>
        <v>8</v>
      </c>
      <c r="I24" s="55">
        <f t="shared" si="2"/>
        <v>0</v>
      </c>
      <c r="J24" s="56">
        <f t="shared" si="3"/>
        <v>0</v>
      </c>
      <c r="K24" s="57">
        <f t="shared" si="34"/>
        <v>1</v>
      </c>
      <c r="L24" s="57">
        <f t="shared" si="17"/>
        <v>0</v>
      </c>
      <c r="M24" s="58" t="str">
        <f t="shared" si="4"/>
        <v>przerwa1</v>
      </c>
      <c r="N24" s="57">
        <f t="shared" si="18"/>
        <v>1</v>
      </c>
      <c r="O24" s="138"/>
      <c r="P24" s="149"/>
      <c r="Q24" s="138"/>
      <c r="R24" s="8"/>
      <c r="S24" s="60">
        <f t="shared" si="5"/>
        <v>0</v>
      </c>
      <c r="T24" s="60" t="str">
        <f t="shared" si="19"/>
        <v xml:space="preserve"> </v>
      </c>
      <c r="U24" s="60" t="str">
        <f t="shared" si="20"/>
        <v xml:space="preserve"> </v>
      </c>
      <c r="W24">
        <f t="shared" si="21"/>
        <v>480</v>
      </c>
      <c r="X24">
        <f t="shared" si="22"/>
        <v>0</v>
      </c>
      <c r="Y24">
        <f t="shared" si="23"/>
        <v>480</v>
      </c>
      <c r="AD24" s="158">
        <f t="shared" si="25"/>
        <v>7</v>
      </c>
      <c r="AE24" s="158">
        <f t="shared" si="26"/>
        <v>0</v>
      </c>
      <c r="AF24" s="64">
        <f t="shared" si="27"/>
        <v>7</v>
      </c>
      <c r="AG24" s="169">
        <f t="shared" si="28"/>
        <v>15</v>
      </c>
      <c r="AH24" s="169">
        <f t="shared" si="29"/>
        <v>0</v>
      </c>
      <c r="AI24" s="64">
        <f t="shared" si="30"/>
        <v>15</v>
      </c>
      <c r="AJ24" s="169">
        <f t="shared" si="31"/>
        <v>8</v>
      </c>
      <c r="AK24" s="169">
        <f t="shared" si="32"/>
        <v>0</v>
      </c>
      <c r="AL24" s="64">
        <f t="shared" si="33"/>
        <v>8</v>
      </c>
    </row>
    <row r="25" spans="1:38" ht="15.75" x14ac:dyDescent="0.25">
      <c r="A25" s="2">
        <f t="shared" si="24"/>
        <v>46280</v>
      </c>
      <c r="B25" s="2">
        <f t="shared" si="15"/>
        <v>84</v>
      </c>
      <c r="C25" s="54" t="str">
        <f t="shared" si="0"/>
        <v>15.9. wtorek</v>
      </c>
      <c r="D25" s="159"/>
      <c r="E25" s="117" t="str">
        <f t="shared" si="16"/>
        <v xml:space="preserve"> </v>
      </c>
      <c r="F25" s="115">
        <v>7</v>
      </c>
      <c r="G25" s="115">
        <v>15</v>
      </c>
      <c r="H25" s="55">
        <f t="shared" si="1"/>
        <v>8</v>
      </c>
      <c r="I25" s="55">
        <f t="shared" si="2"/>
        <v>0</v>
      </c>
      <c r="J25" s="56">
        <f t="shared" si="3"/>
        <v>0</v>
      </c>
      <c r="K25" s="57">
        <f t="shared" si="34"/>
        <v>1</v>
      </c>
      <c r="L25" s="57">
        <f t="shared" si="17"/>
        <v>0</v>
      </c>
      <c r="M25" s="58" t="str">
        <f t="shared" si="4"/>
        <v>przerwa1</v>
      </c>
      <c r="N25" s="57">
        <f t="shared" si="18"/>
        <v>1</v>
      </c>
      <c r="O25" s="138"/>
      <c r="P25" s="149"/>
      <c r="Q25" s="138"/>
      <c r="R25" s="8"/>
      <c r="S25" s="60">
        <f t="shared" si="5"/>
        <v>0</v>
      </c>
      <c r="T25" s="60" t="str">
        <f t="shared" si="19"/>
        <v xml:space="preserve"> </v>
      </c>
      <c r="U25" s="60" t="str">
        <f t="shared" si="20"/>
        <v xml:space="preserve"> </v>
      </c>
      <c r="W25">
        <f t="shared" si="21"/>
        <v>480</v>
      </c>
      <c r="X25">
        <f t="shared" si="22"/>
        <v>0</v>
      </c>
      <c r="Y25">
        <f t="shared" si="23"/>
        <v>480</v>
      </c>
      <c r="AD25" s="158">
        <f t="shared" si="25"/>
        <v>7</v>
      </c>
      <c r="AE25" s="158">
        <f t="shared" si="26"/>
        <v>0</v>
      </c>
      <c r="AF25" s="64">
        <f t="shared" si="27"/>
        <v>7</v>
      </c>
      <c r="AG25" s="169">
        <f t="shared" si="28"/>
        <v>15</v>
      </c>
      <c r="AH25" s="169">
        <f t="shared" si="29"/>
        <v>0</v>
      </c>
      <c r="AI25" s="64">
        <f t="shared" si="30"/>
        <v>15</v>
      </c>
      <c r="AJ25" s="169">
        <f t="shared" si="31"/>
        <v>8</v>
      </c>
      <c r="AK25" s="169">
        <f t="shared" si="32"/>
        <v>0</v>
      </c>
      <c r="AL25" s="64">
        <f t="shared" si="33"/>
        <v>8</v>
      </c>
    </row>
    <row r="26" spans="1:38" ht="15.75" x14ac:dyDescent="0.25">
      <c r="A26" s="2">
        <f t="shared" si="24"/>
        <v>46281</v>
      </c>
      <c r="B26" s="2">
        <f t="shared" si="15"/>
        <v>84</v>
      </c>
      <c r="C26" s="54" t="str">
        <f t="shared" si="0"/>
        <v>16.9. środa</v>
      </c>
      <c r="D26" s="159"/>
      <c r="E26" s="117" t="str">
        <f t="shared" si="16"/>
        <v xml:space="preserve"> </v>
      </c>
      <c r="F26" s="115">
        <v>7</v>
      </c>
      <c r="G26" s="115">
        <v>15</v>
      </c>
      <c r="H26" s="55">
        <f t="shared" si="1"/>
        <v>8</v>
      </c>
      <c r="I26" s="55">
        <f t="shared" si="2"/>
        <v>0</v>
      </c>
      <c r="J26" s="56">
        <f t="shared" si="3"/>
        <v>0</v>
      </c>
      <c r="K26" s="57">
        <f t="shared" si="34"/>
        <v>1</v>
      </c>
      <c r="L26" s="57">
        <f t="shared" si="17"/>
        <v>0</v>
      </c>
      <c r="M26" s="58" t="str">
        <f t="shared" si="4"/>
        <v>przerwa1</v>
      </c>
      <c r="N26" s="57">
        <f t="shared" si="18"/>
        <v>1</v>
      </c>
      <c r="O26" s="138"/>
      <c r="P26" s="149"/>
      <c r="Q26" s="138"/>
      <c r="R26" s="8"/>
      <c r="S26" s="60">
        <f t="shared" si="5"/>
        <v>0</v>
      </c>
      <c r="T26" s="60" t="str">
        <f t="shared" si="19"/>
        <v xml:space="preserve"> </v>
      </c>
      <c r="U26" s="60" t="str">
        <f t="shared" si="20"/>
        <v xml:space="preserve"> </v>
      </c>
      <c r="W26">
        <f t="shared" si="21"/>
        <v>480</v>
      </c>
      <c r="X26">
        <f t="shared" si="22"/>
        <v>0</v>
      </c>
      <c r="Y26">
        <f t="shared" si="23"/>
        <v>480</v>
      </c>
      <c r="AD26" s="158">
        <f t="shared" si="25"/>
        <v>7</v>
      </c>
      <c r="AE26" s="158">
        <f t="shared" si="26"/>
        <v>0</v>
      </c>
      <c r="AF26" s="64">
        <f t="shared" si="27"/>
        <v>7</v>
      </c>
      <c r="AG26" s="169">
        <f t="shared" si="28"/>
        <v>15</v>
      </c>
      <c r="AH26" s="169">
        <f t="shared" si="29"/>
        <v>0</v>
      </c>
      <c r="AI26" s="64">
        <f t="shared" si="30"/>
        <v>15</v>
      </c>
      <c r="AJ26" s="169">
        <f t="shared" si="31"/>
        <v>8</v>
      </c>
      <c r="AK26" s="169">
        <f t="shared" si="32"/>
        <v>0</v>
      </c>
      <c r="AL26" s="64">
        <f t="shared" si="33"/>
        <v>8</v>
      </c>
    </row>
    <row r="27" spans="1:38" ht="15.75" x14ac:dyDescent="0.25">
      <c r="A27" s="2">
        <f t="shared" si="24"/>
        <v>46282</v>
      </c>
      <c r="B27" s="2">
        <f t="shared" si="15"/>
        <v>84</v>
      </c>
      <c r="C27" s="54" t="str">
        <f t="shared" si="0"/>
        <v>17.9. czwartek</v>
      </c>
      <c r="D27" s="159"/>
      <c r="E27" s="117" t="str">
        <f t="shared" si="16"/>
        <v xml:space="preserve"> </v>
      </c>
      <c r="F27" s="115">
        <v>7</v>
      </c>
      <c r="G27" s="115">
        <v>15</v>
      </c>
      <c r="H27" s="55">
        <f t="shared" si="1"/>
        <v>8</v>
      </c>
      <c r="I27" s="55">
        <f t="shared" si="2"/>
        <v>0</v>
      </c>
      <c r="J27" s="56">
        <f t="shared" si="3"/>
        <v>0</v>
      </c>
      <c r="K27" s="57">
        <f t="shared" si="34"/>
        <v>1</v>
      </c>
      <c r="L27" s="57">
        <f t="shared" si="17"/>
        <v>0</v>
      </c>
      <c r="M27" s="58" t="str">
        <f t="shared" si="4"/>
        <v>przerwa1</v>
      </c>
      <c r="N27" s="57">
        <f t="shared" si="18"/>
        <v>1</v>
      </c>
      <c r="O27" s="138"/>
      <c r="P27" s="149"/>
      <c r="Q27" s="138"/>
      <c r="R27" s="8"/>
      <c r="S27" s="60">
        <f t="shared" si="5"/>
        <v>0</v>
      </c>
      <c r="T27" s="60" t="str">
        <f t="shared" si="19"/>
        <v xml:space="preserve"> </v>
      </c>
      <c r="U27" s="60" t="str">
        <f t="shared" si="20"/>
        <v xml:space="preserve"> </v>
      </c>
      <c r="W27">
        <f t="shared" si="21"/>
        <v>480</v>
      </c>
      <c r="X27">
        <f t="shared" si="22"/>
        <v>0</v>
      </c>
      <c r="Y27">
        <f t="shared" si="23"/>
        <v>480</v>
      </c>
      <c r="AD27" s="158">
        <f t="shared" si="25"/>
        <v>7</v>
      </c>
      <c r="AE27" s="158">
        <f t="shared" si="26"/>
        <v>0</v>
      </c>
      <c r="AF27" s="64">
        <f t="shared" si="27"/>
        <v>7</v>
      </c>
      <c r="AG27" s="169">
        <f t="shared" si="28"/>
        <v>15</v>
      </c>
      <c r="AH27" s="169">
        <f t="shared" si="29"/>
        <v>0</v>
      </c>
      <c r="AI27" s="64">
        <f t="shared" si="30"/>
        <v>15</v>
      </c>
      <c r="AJ27" s="169">
        <f t="shared" si="31"/>
        <v>8</v>
      </c>
      <c r="AK27" s="169">
        <f t="shared" si="32"/>
        <v>0</v>
      </c>
      <c r="AL27" s="64">
        <f t="shared" si="33"/>
        <v>8</v>
      </c>
    </row>
    <row r="28" spans="1:38" ht="15.75" x14ac:dyDescent="0.25">
      <c r="A28" s="2">
        <f t="shared" si="24"/>
        <v>46283</v>
      </c>
      <c r="B28" s="2">
        <f t="shared" si="15"/>
        <v>84</v>
      </c>
      <c r="C28" s="54" t="str">
        <f t="shared" si="0"/>
        <v>18.9. piątek</v>
      </c>
      <c r="D28" s="159"/>
      <c r="E28" s="117" t="str">
        <f t="shared" si="16"/>
        <v xml:space="preserve"> </v>
      </c>
      <c r="F28" s="115">
        <v>7</v>
      </c>
      <c r="G28" s="115">
        <v>15</v>
      </c>
      <c r="H28" s="55">
        <f t="shared" si="1"/>
        <v>8</v>
      </c>
      <c r="I28" s="55">
        <f t="shared" si="2"/>
        <v>0</v>
      </c>
      <c r="J28" s="56">
        <f t="shared" si="3"/>
        <v>0</v>
      </c>
      <c r="K28" s="57">
        <f t="shared" si="34"/>
        <v>1</v>
      </c>
      <c r="L28" s="57">
        <f t="shared" si="17"/>
        <v>0</v>
      </c>
      <c r="M28" s="58" t="str">
        <f t="shared" si="4"/>
        <v>przerwa1</v>
      </c>
      <c r="N28" s="57">
        <f t="shared" si="18"/>
        <v>1</v>
      </c>
      <c r="O28" s="138"/>
      <c r="P28" s="149"/>
      <c r="Q28" s="138"/>
      <c r="R28" s="8"/>
      <c r="S28" s="60">
        <f t="shared" si="5"/>
        <v>0</v>
      </c>
      <c r="T28" s="60" t="str">
        <f t="shared" si="19"/>
        <v xml:space="preserve"> </v>
      </c>
      <c r="U28" s="60" t="str">
        <f t="shared" si="20"/>
        <v xml:space="preserve"> </v>
      </c>
      <c r="W28">
        <f t="shared" si="21"/>
        <v>480</v>
      </c>
      <c r="X28">
        <f t="shared" si="22"/>
        <v>0</v>
      </c>
      <c r="Y28">
        <f t="shared" si="23"/>
        <v>480</v>
      </c>
      <c r="AD28" s="158">
        <f t="shared" si="25"/>
        <v>7</v>
      </c>
      <c r="AE28" s="158">
        <f t="shared" si="26"/>
        <v>0</v>
      </c>
      <c r="AF28" s="64">
        <f t="shared" si="27"/>
        <v>7</v>
      </c>
      <c r="AG28" s="169">
        <f t="shared" si="28"/>
        <v>15</v>
      </c>
      <c r="AH28" s="169">
        <f t="shared" si="29"/>
        <v>0</v>
      </c>
      <c r="AI28" s="64">
        <f t="shared" si="30"/>
        <v>15</v>
      </c>
      <c r="AJ28" s="169">
        <f t="shared" si="31"/>
        <v>8</v>
      </c>
      <c r="AK28" s="169">
        <f t="shared" si="32"/>
        <v>0</v>
      </c>
      <c r="AL28" s="64">
        <f t="shared" si="33"/>
        <v>8</v>
      </c>
    </row>
    <row r="29" spans="1:38" ht="15.75" x14ac:dyDescent="0.25">
      <c r="A29" s="2">
        <f t="shared" si="24"/>
        <v>46284</v>
      </c>
      <c r="B29" s="2">
        <f t="shared" si="15"/>
        <v>84</v>
      </c>
      <c r="C29" s="54" t="str">
        <f t="shared" si="0"/>
        <v>19.9. sobota</v>
      </c>
      <c r="D29" s="159" t="s">
        <v>47</v>
      </c>
      <c r="E29" s="117" t="str">
        <f t="shared" si="16"/>
        <v>wolne</v>
      </c>
      <c r="F29" s="115"/>
      <c r="G29" s="115"/>
      <c r="H29" s="55" t="str">
        <f t="shared" si="1"/>
        <v/>
      </c>
      <c r="I29" s="55" t="str">
        <f t="shared" si="2"/>
        <v/>
      </c>
      <c r="J29" s="56" t="str">
        <f t="shared" si="3"/>
        <v/>
      </c>
      <c r="K29" s="57">
        <f t="shared" si="34"/>
        <v>0</v>
      </c>
      <c r="L29" s="57">
        <f t="shared" si="17"/>
        <v>0</v>
      </c>
      <c r="M29" s="58" t="str">
        <f t="shared" si="4"/>
        <v>przerwa1</v>
      </c>
      <c r="N29" s="57">
        <f t="shared" si="18"/>
        <v>0</v>
      </c>
      <c r="O29" s="138"/>
      <c r="P29" s="149"/>
      <c r="Q29" s="138"/>
      <c r="R29" s="8"/>
      <c r="S29" s="60" t="str">
        <f t="shared" si="5"/>
        <v xml:space="preserve"> </v>
      </c>
      <c r="T29" s="60" t="str">
        <f t="shared" si="19"/>
        <v xml:space="preserve"> </v>
      </c>
      <c r="U29" s="60" t="str">
        <f t="shared" si="20"/>
        <v xml:space="preserve"> </v>
      </c>
      <c r="W29">
        <f t="shared" si="21"/>
        <v>0</v>
      </c>
      <c r="X29">
        <f t="shared" si="22"/>
        <v>0</v>
      </c>
      <c r="Y29">
        <f t="shared" si="23"/>
        <v>0</v>
      </c>
      <c r="AD29" s="158">
        <f t="shared" si="25"/>
        <v>0</v>
      </c>
      <c r="AE29" s="158">
        <f t="shared" si="26"/>
        <v>0</v>
      </c>
      <c r="AF29" s="64" t="str">
        <f t="shared" si="27"/>
        <v xml:space="preserve"> </v>
      </c>
      <c r="AG29" s="169">
        <f t="shared" si="28"/>
        <v>0</v>
      </c>
      <c r="AH29" s="169">
        <f t="shared" si="29"/>
        <v>0</v>
      </c>
      <c r="AI29" s="64" t="str">
        <f t="shared" si="30"/>
        <v xml:space="preserve"> </v>
      </c>
      <c r="AJ29" s="169" t="str">
        <f t="shared" si="31"/>
        <v/>
      </c>
      <c r="AK29" s="169" t="str">
        <f t="shared" si="32"/>
        <v/>
      </c>
      <c r="AL29" s="64" t="str">
        <f t="shared" si="33"/>
        <v xml:space="preserve"> </v>
      </c>
    </row>
    <row r="30" spans="1:38" ht="15.75" x14ac:dyDescent="0.25">
      <c r="A30" s="2">
        <f t="shared" si="24"/>
        <v>46285</v>
      </c>
      <c r="B30" s="2">
        <f t="shared" si="15"/>
        <v>84</v>
      </c>
      <c r="C30" s="54" t="str">
        <f t="shared" si="0"/>
        <v>20.9. niedziela</v>
      </c>
      <c r="D30" s="159" t="s">
        <v>47</v>
      </c>
      <c r="E30" s="117" t="str">
        <f t="shared" si="16"/>
        <v>wolne</v>
      </c>
      <c r="F30" s="115"/>
      <c r="G30" s="115"/>
      <c r="H30" s="55" t="str">
        <f t="shared" si="1"/>
        <v/>
      </c>
      <c r="I30" s="55" t="str">
        <f t="shared" si="2"/>
        <v/>
      </c>
      <c r="J30" s="56" t="str">
        <f t="shared" si="3"/>
        <v/>
      </c>
      <c r="K30" s="57">
        <f t="shared" si="34"/>
        <v>0</v>
      </c>
      <c r="L30" s="57">
        <f t="shared" si="17"/>
        <v>0</v>
      </c>
      <c r="M30" s="58" t="str">
        <f t="shared" si="4"/>
        <v>przerwa1</v>
      </c>
      <c r="N30" s="57">
        <f t="shared" si="18"/>
        <v>0</v>
      </c>
      <c r="O30" s="138"/>
      <c r="P30" s="149"/>
      <c r="Q30" s="138"/>
      <c r="R30" s="8"/>
      <c r="S30" s="60" t="str">
        <f t="shared" si="5"/>
        <v xml:space="preserve"> </v>
      </c>
      <c r="T30" s="60" t="str">
        <f t="shared" si="19"/>
        <v xml:space="preserve"> </v>
      </c>
      <c r="U30" s="60" t="str">
        <f t="shared" si="20"/>
        <v xml:space="preserve"> </v>
      </c>
      <c r="W30">
        <f t="shared" si="21"/>
        <v>0</v>
      </c>
      <c r="X30">
        <f t="shared" si="22"/>
        <v>0</v>
      </c>
      <c r="Y30">
        <f t="shared" si="23"/>
        <v>0</v>
      </c>
      <c r="AD30" s="158">
        <f t="shared" si="25"/>
        <v>0</v>
      </c>
      <c r="AE30" s="158">
        <f t="shared" si="26"/>
        <v>0</v>
      </c>
      <c r="AF30" s="64" t="str">
        <f t="shared" si="27"/>
        <v xml:space="preserve"> </v>
      </c>
      <c r="AG30" s="169">
        <f t="shared" si="28"/>
        <v>0</v>
      </c>
      <c r="AH30" s="169">
        <f t="shared" si="29"/>
        <v>0</v>
      </c>
      <c r="AI30" s="64" t="str">
        <f t="shared" si="30"/>
        <v xml:space="preserve"> </v>
      </c>
      <c r="AJ30" s="169" t="str">
        <f t="shared" si="31"/>
        <v/>
      </c>
      <c r="AK30" s="169" t="str">
        <f t="shared" si="32"/>
        <v/>
      </c>
      <c r="AL30" s="64" t="str">
        <f t="shared" si="33"/>
        <v xml:space="preserve"> </v>
      </c>
    </row>
    <row r="31" spans="1:38" ht="15.75" x14ac:dyDescent="0.25">
      <c r="A31" s="2">
        <f t="shared" si="24"/>
        <v>46286</v>
      </c>
      <c r="B31" s="2">
        <f t="shared" si="15"/>
        <v>84</v>
      </c>
      <c r="C31" s="54" t="str">
        <f t="shared" si="0"/>
        <v>21.9. poniedziałek</v>
      </c>
      <c r="D31" s="159"/>
      <c r="E31" s="117" t="str">
        <f t="shared" si="16"/>
        <v xml:space="preserve"> </v>
      </c>
      <c r="F31" s="115">
        <v>7</v>
      </c>
      <c r="G31" s="115">
        <v>15</v>
      </c>
      <c r="H31" s="55">
        <f t="shared" si="1"/>
        <v>8</v>
      </c>
      <c r="I31" s="55">
        <f t="shared" si="2"/>
        <v>0</v>
      </c>
      <c r="J31" s="56">
        <f t="shared" si="3"/>
        <v>0</v>
      </c>
      <c r="K31" s="57">
        <f t="shared" si="34"/>
        <v>1</v>
      </c>
      <c r="L31" s="57">
        <f t="shared" si="17"/>
        <v>0</v>
      </c>
      <c r="M31" s="58" t="str">
        <f t="shared" si="4"/>
        <v>przerwa1</v>
      </c>
      <c r="N31" s="57">
        <f t="shared" si="18"/>
        <v>1</v>
      </c>
      <c r="O31" s="138"/>
      <c r="P31" s="149"/>
      <c r="Q31" s="138"/>
      <c r="R31" s="8"/>
      <c r="S31" s="60">
        <f t="shared" si="5"/>
        <v>0</v>
      </c>
      <c r="T31" s="60" t="str">
        <f t="shared" si="19"/>
        <v xml:space="preserve"> </v>
      </c>
      <c r="U31" s="60" t="str">
        <f t="shared" si="20"/>
        <v xml:space="preserve"> </v>
      </c>
      <c r="W31">
        <f t="shared" si="21"/>
        <v>480</v>
      </c>
      <c r="X31">
        <f t="shared" si="22"/>
        <v>0</v>
      </c>
      <c r="Y31">
        <f t="shared" si="23"/>
        <v>480</v>
      </c>
      <c r="AD31" s="158">
        <f t="shared" si="25"/>
        <v>7</v>
      </c>
      <c r="AE31" s="158">
        <f t="shared" si="26"/>
        <v>0</v>
      </c>
      <c r="AF31" s="64">
        <f t="shared" si="27"/>
        <v>7</v>
      </c>
      <c r="AG31" s="169">
        <f t="shared" si="28"/>
        <v>15</v>
      </c>
      <c r="AH31" s="169">
        <f t="shared" si="29"/>
        <v>0</v>
      </c>
      <c r="AI31" s="64">
        <f t="shared" si="30"/>
        <v>15</v>
      </c>
      <c r="AJ31" s="169">
        <f t="shared" si="31"/>
        <v>8</v>
      </c>
      <c r="AK31" s="169">
        <f t="shared" si="32"/>
        <v>0</v>
      </c>
      <c r="AL31" s="64">
        <f t="shared" si="33"/>
        <v>8</v>
      </c>
    </row>
    <row r="32" spans="1:38" ht="15.75" x14ac:dyDescent="0.25">
      <c r="A32" s="2">
        <f t="shared" si="24"/>
        <v>46287</v>
      </c>
      <c r="B32" s="2">
        <f t="shared" si="15"/>
        <v>84</v>
      </c>
      <c r="C32" s="54" t="str">
        <f t="shared" si="0"/>
        <v>22.9. wtorek</v>
      </c>
      <c r="D32" s="159"/>
      <c r="E32" s="117" t="str">
        <f t="shared" si="16"/>
        <v xml:space="preserve"> </v>
      </c>
      <c r="F32" s="115">
        <v>7</v>
      </c>
      <c r="G32" s="115">
        <v>15</v>
      </c>
      <c r="H32" s="55">
        <f t="shared" si="1"/>
        <v>8</v>
      </c>
      <c r="I32" s="55">
        <f t="shared" si="2"/>
        <v>0</v>
      </c>
      <c r="J32" s="56">
        <f t="shared" si="3"/>
        <v>0</v>
      </c>
      <c r="K32" s="57">
        <f t="shared" si="34"/>
        <v>1</v>
      </c>
      <c r="L32" s="57">
        <f t="shared" si="17"/>
        <v>0</v>
      </c>
      <c r="M32" s="58" t="str">
        <f t="shared" si="4"/>
        <v>przerwa1</v>
      </c>
      <c r="N32" s="57">
        <f t="shared" si="18"/>
        <v>1</v>
      </c>
      <c r="O32" s="138"/>
      <c r="P32" s="149"/>
      <c r="Q32" s="138"/>
      <c r="R32" s="8"/>
      <c r="S32" s="60">
        <f t="shared" si="5"/>
        <v>0</v>
      </c>
      <c r="T32" s="60" t="str">
        <f t="shared" si="19"/>
        <v xml:space="preserve"> </v>
      </c>
      <c r="U32" s="60" t="str">
        <f t="shared" si="20"/>
        <v xml:space="preserve"> </v>
      </c>
      <c r="W32">
        <f t="shared" si="21"/>
        <v>480</v>
      </c>
      <c r="X32">
        <f t="shared" si="22"/>
        <v>0</v>
      </c>
      <c r="Y32">
        <f t="shared" si="23"/>
        <v>480</v>
      </c>
      <c r="AD32" s="158">
        <f t="shared" si="25"/>
        <v>7</v>
      </c>
      <c r="AE32" s="158">
        <f t="shared" si="26"/>
        <v>0</v>
      </c>
      <c r="AF32" s="64">
        <f t="shared" si="27"/>
        <v>7</v>
      </c>
      <c r="AG32" s="169">
        <f t="shared" si="28"/>
        <v>15</v>
      </c>
      <c r="AH32" s="169">
        <f t="shared" si="29"/>
        <v>0</v>
      </c>
      <c r="AI32" s="64">
        <f t="shared" si="30"/>
        <v>15</v>
      </c>
      <c r="AJ32" s="169">
        <f t="shared" si="31"/>
        <v>8</v>
      </c>
      <c r="AK32" s="169">
        <f t="shared" si="32"/>
        <v>0</v>
      </c>
      <c r="AL32" s="64">
        <f t="shared" si="33"/>
        <v>8</v>
      </c>
    </row>
    <row r="33" spans="1:38" ht="15.75" x14ac:dyDescent="0.25">
      <c r="A33" s="2">
        <f t="shared" si="24"/>
        <v>46288</v>
      </c>
      <c r="B33" s="2">
        <f t="shared" si="15"/>
        <v>84</v>
      </c>
      <c r="C33" s="54" t="str">
        <f t="shared" si="0"/>
        <v>23.9. środa</v>
      </c>
      <c r="D33" s="159"/>
      <c r="E33" s="117" t="str">
        <f t="shared" si="16"/>
        <v xml:space="preserve"> </v>
      </c>
      <c r="F33" s="115">
        <v>7</v>
      </c>
      <c r="G33" s="115">
        <v>15</v>
      </c>
      <c r="H33" s="55">
        <f t="shared" si="1"/>
        <v>8</v>
      </c>
      <c r="I33" s="55">
        <f t="shared" si="2"/>
        <v>0</v>
      </c>
      <c r="J33" s="56">
        <f t="shared" si="3"/>
        <v>0</v>
      </c>
      <c r="K33" s="57">
        <f t="shared" si="34"/>
        <v>1</v>
      </c>
      <c r="L33" s="57">
        <f t="shared" si="17"/>
        <v>0</v>
      </c>
      <c r="M33" s="58" t="str">
        <f t="shared" si="4"/>
        <v>przerwa1</v>
      </c>
      <c r="N33" s="57">
        <f t="shared" si="18"/>
        <v>1</v>
      </c>
      <c r="O33" s="138"/>
      <c r="P33" s="149"/>
      <c r="Q33" s="138"/>
      <c r="R33" s="8"/>
      <c r="S33" s="60">
        <f t="shared" si="5"/>
        <v>0</v>
      </c>
      <c r="T33" s="60" t="str">
        <f t="shared" si="19"/>
        <v xml:space="preserve"> </v>
      </c>
      <c r="U33" s="60" t="str">
        <f t="shared" si="20"/>
        <v xml:space="preserve"> </v>
      </c>
      <c r="W33">
        <f t="shared" si="21"/>
        <v>480</v>
      </c>
      <c r="X33">
        <f t="shared" si="22"/>
        <v>0</v>
      </c>
      <c r="Y33">
        <f t="shared" si="23"/>
        <v>480</v>
      </c>
      <c r="AD33" s="158">
        <f t="shared" si="25"/>
        <v>7</v>
      </c>
      <c r="AE33" s="158">
        <f t="shared" si="26"/>
        <v>0</v>
      </c>
      <c r="AF33" s="64">
        <f t="shared" si="27"/>
        <v>7</v>
      </c>
      <c r="AG33" s="169">
        <f t="shared" si="28"/>
        <v>15</v>
      </c>
      <c r="AH33" s="169">
        <f t="shared" si="29"/>
        <v>0</v>
      </c>
      <c r="AI33" s="64">
        <f t="shared" si="30"/>
        <v>15</v>
      </c>
      <c r="AJ33" s="169">
        <f t="shared" si="31"/>
        <v>8</v>
      </c>
      <c r="AK33" s="169">
        <f t="shared" si="32"/>
        <v>0</v>
      </c>
      <c r="AL33" s="64">
        <f t="shared" si="33"/>
        <v>8</v>
      </c>
    </row>
    <row r="34" spans="1:38" ht="15.75" x14ac:dyDescent="0.25">
      <c r="A34" s="2">
        <f t="shared" si="24"/>
        <v>46289</v>
      </c>
      <c r="B34" s="2">
        <f t="shared" si="15"/>
        <v>84</v>
      </c>
      <c r="C34" s="54" t="str">
        <f t="shared" si="0"/>
        <v>24.9. czwartek</v>
      </c>
      <c r="D34" s="159"/>
      <c r="E34" s="117" t="str">
        <f t="shared" si="16"/>
        <v xml:space="preserve"> </v>
      </c>
      <c r="F34" s="115">
        <v>7</v>
      </c>
      <c r="G34" s="115">
        <v>15</v>
      </c>
      <c r="H34" s="55">
        <f t="shared" si="1"/>
        <v>8</v>
      </c>
      <c r="I34" s="55">
        <f t="shared" si="2"/>
        <v>0</v>
      </c>
      <c r="J34" s="56">
        <f t="shared" si="3"/>
        <v>0</v>
      </c>
      <c r="K34" s="57">
        <f t="shared" si="34"/>
        <v>1</v>
      </c>
      <c r="L34" s="57">
        <f t="shared" si="17"/>
        <v>0</v>
      </c>
      <c r="M34" s="58" t="str">
        <f t="shared" si="4"/>
        <v>przerwa1</v>
      </c>
      <c r="N34" s="57">
        <f t="shared" si="18"/>
        <v>1</v>
      </c>
      <c r="O34" s="138"/>
      <c r="P34" s="149"/>
      <c r="Q34" s="138"/>
      <c r="R34" s="8"/>
      <c r="S34" s="60">
        <f t="shared" si="5"/>
        <v>0</v>
      </c>
      <c r="T34" s="60" t="str">
        <f t="shared" si="19"/>
        <v xml:space="preserve"> </v>
      </c>
      <c r="U34" s="60" t="str">
        <f t="shared" si="20"/>
        <v xml:space="preserve"> </v>
      </c>
      <c r="W34">
        <f t="shared" si="21"/>
        <v>480</v>
      </c>
      <c r="X34">
        <f t="shared" si="22"/>
        <v>0</v>
      </c>
      <c r="Y34">
        <f t="shared" si="23"/>
        <v>480</v>
      </c>
      <c r="AD34" s="158">
        <f t="shared" si="25"/>
        <v>7</v>
      </c>
      <c r="AE34" s="158">
        <f t="shared" si="26"/>
        <v>0</v>
      </c>
      <c r="AF34" s="64">
        <f t="shared" si="27"/>
        <v>7</v>
      </c>
      <c r="AG34" s="169">
        <f t="shared" si="28"/>
        <v>15</v>
      </c>
      <c r="AH34" s="169">
        <f t="shared" si="29"/>
        <v>0</v>
      </c>
      <c r="AI34" s="64">
        <f t="shared" si="30"/>
        <v>15</v>
      </c>
      <c r="AJ34" s="169">
        <f t="shared" si="31"/>
        <v>8</v>
      </c>
      <c r="AK34" s="169">
        <f t="shared" si="32"/>
        <v>0</v>
      </c>
      <c r="AL34" s="64">
        <f t="shared" si="33"/>
        <v>8</v>
      </c>
    </row>
    <row r="35" spans="1:38" ht="15.75" x14ac:dyDescent="0.25">
      <c r="A35" s="2">
        <f t="shared" si="24"/>
        <v>46290</v>
      </c>
      <c r="B35" s="2">
        <f t="shared" si="15"/>
        <v>84</v>
      </c>
      <c r="C35" s="54" t="str">
        <f t="shared" si="0"/>
        <v>25.9. piątek</v>
      </c>
      <c r="D35" s="159"/>
      <c r="E35" s="117" t="str">
        <f t="shared" si="16"/>
        <v xml:space="preserve"> </v>
      </c>
      <c r="F35" s="115">
        <v>7</v>
      </c>
      <c r="G35" s="115">
        <v>15</v>
      </c>
      <c r="H35" s="55">
        <f t="shared" si="1"/>
        <v>8</v>
      </c>
      <c r="I35" s="55">
        <f t="shared" si="2"/>
        <v>0</v>
      </c>
      <c r="J35" s="56">
        <f t="shared" si="3"/>
        <v>0</v>
      </c>
      <c r="K35" s="57">
        <f t="shared" si="34"/>
        <v>1</v>
      </c>
      <c r="L35" s="57">
        <f t="shared" si="17"/>
        <v>0</v>
      </c>
      <c r="M35" s="58" t="str">
        <f t="shared" si="4"/>
        <v>przerwa1</v>
      </c>
      <c r="N35" s="57">
        <f t="shared" si="18"/>
        <v>1</v>
      </c>
      <c r="O35" s="138"/>
      <c r="P35" s="149"/>
      <c r="Q35" s="138"/>
      <c r="R35" s="8"/>
      <c r="S35" s="60">
        <f t="shared" si="5"/>
        <v>0</v>
      </c>
      <c r="T35" s="60" t="str">
        <f t="shared" si="19"/>
        <v xml:space="preserve"> </v>
      </c>
      <c r="U35" s="60" t="str">
        <f t="shared" si="20"/>
        <v xml:space="preserve"> </v>
      </c>
      <c r="W35">
        <f t="shared" si="21"/>
        <v>480</v>
      </c>
      <c r="X35">
        <f t="shared" si="22"/>
        <v>0</v>
      </c>
      <c r="Y35">
        <f t="shared" si="23"/>
        <v>480</v>
      </c>
      <c r="AD35" s="158">
        <f t="shared" si="25"/>
        <v>7</v>
      </c>
      <c r="AE35" s="158">
        <f t="shared" si="26"/>
        <v>0</v>
      </c>
      <c r="AF35" s="64">
        <f t="shared" si="27"/>
        <v>7</v>
      </c>
      <c r="AG35" s="169">
        <f t="shared" si="28"/>
        <v>15</v>
      </c>
      <c r="AH35" s="169">
        <f t="shared" si="29"/>
        <v>0</v>
      </c>
      <c r="AI35" s="64">
        <f t="shared" si="30"/>
        <v>15</v>
      </c>
      <c r="AJ35" s="169">
        <f t="shared" si="31"/>
        <v>8</v>
      </c>
      <c r="AK35" s="169">
        <f t="shared" si="32"/>
        <v>0</v>
      </c>
      <c r="AL35" s="64">
        <f t="shared" si="33"/>
        <v>8</v>
      </c>
    </row>
    <row r="36" spans="1:38" ht="15.75" x14ac:dyDescent="0.25">
      <c r="A36" s="2">
        <f t="shared" si="24"/>
        <v>46291</v>
      </c>
      <c r="B36" s="2">
        <f t="shared" si="15"/>
        <v>84</v>
      </c>
      <c r="C36" s="54" t="str">
        <f t="shared" si="0"/>
        <v>26.9. sobota</v>
      </c>
      <c r="D36" s="159" t="s">
        <v>47</v>
      </c>
      <c r="E36" s="117" t="str">
        <f t="shared" si="16"/>
        <v>wolne</v>
      </c>
      <c r="F36" s="115"/>
      <c r="G36" s="115"/>
      <c r="H36" s="55" t="str">
        <f t="shared" si="1"/>
        <v/>
      </c>
      <c r="I36" s="55" t="str">
        <f t="shared" si="2"/>
        <v/>
      </c>
      <c r="J36" s="56" t="str">
        <f t="shared" si="3"/>
        <v/>
      </c>
      <c r="K36" s="57">
        <f t="shared" si="34"/>
        <v>0</v>
      </c>
      <c r="L36" s="57">
        <f t="shared" si="17"/>
        <v>0</v>
      </c>
      <c r="M36" s="58" t="str">
        <f t="shared" si="4"/>
        <v>przerwa1</v>
      </c>
      <c r="N36" s="57">
        <f t="shared" si="18"/>
        <v>0</v>
      </c>
      <c r="O36" s="138"/>
      <c r="P36" s="149"/>
      <c r="Q36" s="138"/>
      <c r="R36" s="8"/>
      <c r="S36" s="60" t="str">
        <f t="shared" si="5"/>
        <v xml:space="preserve"> </v>
      </c>
      <c r="T36" s="60" t="str">
        <f t="shared" si="19"/>
        <v xml:space="preserve"> </v>
      </c>
      <c r="U36" s="60" t="str">
        <f t="shared" si="20"/>
        <v xml:space="preserve"> </v>
      </c>
      <c r="W36">
        <f t="shared" si="21"/>
        <v>0</v>
      </c>
      <c r="X36">
        <f t="shared" si="22"/>
        <v>0</v>
      </c>
      <c r="Y36">
        <f t="shared" si="23"/>
        <v>0</v>
      </c>
      <c r="AD36" s="158">
        <f t="shared" si="25"/>
        <v>0</v>
      </c>
      <c r="AE36" s="158">
        <f t="shared" si="26"/>
        <v>0</v>
      </c>
      <c r="AF36" s="64" t="str">
        <f t="shared" si="27"/>
        <v xml:space="preserve"> </v>
      </c>
      <c r="AG36" s="169">
        <f t="shared" si="28"/>
        <v>0</v>
      </c>
      <c r="AH36" s="169">
        <f t="shared" si="29"/>
        <v>0</v>
      </c>
      <c r="AI36" s="64" t="str">
        <f t="shared" si="30"/>
        <v xml:space="preserve"> </v>
      </c>
      <c r="AJ36" s="169" t="str">
        <f t="shared" si="31"/>
        <v/>
      </c>
      <c r="AK36" s="169" t="str">
        <f t="shared" si="32"/>
        <v/>
      </c>
      <c r="AL36" s="64" t="str">
        <f t="shared" si="33"/>
        <v xml:space="preserve"> </v>
      </c>
    </row>
    <row r="37" spans="1:38" ht="15.75" x14ac:dyDescent="0.25">
      <c r="A37" s="2">
        <f t="shared" si="24"/>
        <v>46292</v>
      </c>
      <c r="B37" s="2">
        <f t="shared" si="15"/>
        <v>84</v>
      </c>
      <c r="C37" s="54" t="str">
        <f t="shared" si="0"/>
        <v>27.9. niedziela</v>
      </c>
      <c r="D37" s="159" t="s">
        <v>47</v>
      </c>
      <c r="E37" s="117" t="str">
        <f t="shared" si="16"/>
        <v>wolne</v>
      </c>
      <c r="F37" s="115"/>
      <c r="G37" s="115"/>
      <c r="H37" s="55" t="str">
        <f t="shared" si="1"/>
        <v/>
      </c>
      <c r="I37" s="55" t="str">
        <f t="shared" si="2"/>
        <v/>
      </c>
      <c r="J37" s="56" t="str">
        <f t="shared" si="3"/>
        <v/>
      </c>
      <c r="K37" s="57">
        <f t="shared" si="34"/>
        <v>0</v>
      </c>
      <c r="L37" s="57">
        <f t="shared" si="17"/>
        <v>0</v>
      </c>
      <c r="M37" s="58" t="str">
        <f t="shared" si="4"/>
        <v>przerwa1</v>
      </c>
      <c r="N37" s="57">
        <f t="shared" si="18"/>
        <v>0</v>
      </c>
      <c r="O37" s="138"/>
      <c r="P37" s="149"/>
      <c r="Q37" s="138"/>
      <c r="R37" s="8"/>
      <c r="S37" s="60" t="str">
        <f t="shared" si="5"/>
        <v xml:space="preserve"> </v>
      </c>
      <c r="T37" s="60" t="str">
        <f t="shared" si="19"/>
        <v xml:space="preserve"> </v>
      </c>
      <c r="U37" s="60" t="str">
        <f t="shared" si="20"/>
        <v xml:space="preserve"> </v>
      </c>
      <c r="W37">
        <f t="shared" si="21"/>
        <v>0</v>
      </c>
      <c r="X37">
        <f t="shared" si="22"/>
        <v>0</v>
      </c>
      <c r="Y37">
        <f t="shared" si="23"/>
        <v>0</v>
      </c>
      <c r="AD37" s="158">
        <f t="shared" si="25"/>
        <v>0</v>
      </c>
      <c r="AE37" s="158">
        <f t="shared" si="26"/>
        <v>0</v>
      </c>
      <c r="AF37" s="64" t="str">
        <f t="shared" si="27"/>
        <v xml:space="preserve"> </v>
      </c>
      <c r="AG37" s="169">
        <f t="shared" si="28"/>
        <v>0</v>
      </c>
      <c r="AH37" s="169">
        <f t="shared" si="29"/>
        <v>0</v>
      </c>
      <c r="AI37" s="64" t="str">
        <f t="shared" si="30"/>
        <v xml:space="preserve"> </v>
      </c>
      <c r="AJ37" s="169" t="str">
        <f t="shared" si="31"/>
        <v/>
      </c>
      <c r="AK37" s="169" t="str">
        <f t="shared" si="32"/>
        <v/>
      </c>
      <c r="AL37" s="64" t="str">
        <f t="shared" si="33"/>
        <v xml:space="preserve"> </v>
      </c>
    </row>
    <row r="38" spans="1:38" ht="15.75" x14ac:dyDescent="0.25">
      <c r="A38" s="2">
        <f t="shared" si="24"/>
        <v>46293</v>
      </c>
      <c r="B38" s="2">
        <f t="shared" si="15"/>
        <v>84</v>
      </c>
      <c r="C38" s="54" t="str">
        <f t="shared" si="0"/>
        <v>28.9. poniedziałek</v>
      </c>
      <c r="D38" s="159"/>
      <c r="E38" s="117" t="str">
        <f t="shared" si="16"/>
        <v xml:space="preserve"> </v>
      </c>
      <c r="F38" s="115">
        <v>7</v>
      </c>
      <c r="G38" s="115">
        <v>15</v>
      </c>
      <c r="H38" s="55">
        <f t="shared" si="1"/>
        <v>8</v>
      </c>
      <c r="I38" s="55">
        <f t="shared" si="2"/>
        <v>0</v>
      </c>
      <c r="J38" s="56">
        <f t="shared" si="3"/>
        <v>0</v>
      </c>
      <c r="K38" s="57">
        <f t="shared" si="34"/>
        <v>1</v>
      </c>
      <c r="L38" s="57">
        <f t="shared" si="17"/>
        <v>0</v>
      </c>
      <c r="M38" s="58" t="str">
        <f t="shared" si="4"/>
        <v>przerwa1</v>
      </c>
      <c r="N38" s="57">
        <f t="shared" si="18"/>
        <v>1</v>
      </c>
      <c r="O38" s="138"/>
      <c r="P38" s="149"/>
      <c r="Q38" s="138"/>
      <c r="R38" s="8"/>
      <c r="S38" s="60">
        <f t="shared" si="5"/>
        <v>0</v>
      </c>
      <c r="T38" s="60" t="str">
        <f t="shared" si="19"/>
        <v xml:space="preserve"> </v>
      </c>
      <c r="U38" s="60" t="str">
        <f t="shared" si="20"/>
        <v xml:space="preserve"> </v>
      </c>
      <c r="W38">
        <f t="shared" si="21"/>
        <v>480</v>
      </c>
      <c r="X38">
        <f t="shared" si="22"/>
        <v>0</v>
      </c>
      <c r="Y38">
        <f t="shared" si="23"/>
        <v>480</v>
      </c>
      <c r="AD38" s="158">
        <f t="shared" si="25"/>
        <v>7</v>
      </c>
      <c r="AE38" s="158">
        <f t="shared" si="26"/>
        <v>0</v>
      </c>
      <c r="AF38" s="64">
        <f t="shared" si="27"/>
        <v>7</v>
      </c>
      <c r="AG38" s="169">
        <f t="shared" si="28"/>
        <v>15</v>
      </c>
      <c r="AH38" s="169">
        <f t="shared" si="29"/>
        <v>0</v>
      </c>
      <c r="AI38" s="64">
        <f t="shared" si="30"/>
        <v>15</v>
      </c>
      <c r="AJ38" s="169">
        <f t="shared" si="31"/>
        <v>8</v>
      </c>
      <c r="AK38" s="169">
        <f t="shared" si="32"/>
        <v>0</v>
      </c>
      <c r="AL38" s="64">
        <f t="shared" si="33"/>
        <v>8</v>
      </c>
    </row>
    <row r="39" spans="1:38" ht="15.75" x14ac:dyDescent="0.25">
      <c r="A39" s="2">
        <f t="shared" si="24"/>
        <v>46294</v>
      </c>
      <c r="B39" s="2">
        <f t="shared" si="15"/>
        <v>84</v>
      </c>
      <c r="C39" s="54" t="str">
        <f t="shared" si="0"/>
        <v>29.9. wtorek</v>
      </c>
      <c r="D39" s="159"/>
      <c r="E39" s="117" t="str">
        <f t="shared" si="16"/>
        <v xml:space="preserve"> </v>
      </c>
      <c r="F39" s="115">
        <v>7</v>
      </c>
      <c r="G39" s="115">
        <v>15</v>
      </c>
      <c r="H39" s="55">
        <f t="shared" si="1"/>
        <v>8</v>
      </c>
      <c r="I39" s="55">
        <f t="shared" si="2"/>
        <v>0</v>
      </c>
      <c r="J39" s="56">
        <f t="shared" si="3"/>
        <v>0</v>
      </c>
      <c r="K39" s="57">
        <f t="shared" si="34"/>
        <v>1</v>
      </c>
      <c r="L39" s="57">
        <f t="shared" si="17"/>
        <v>0</v>
      </c>
      <c r="M39" s="58" t="str">
        <f t="shared" si="4"/>
        <v>przerwa1</v>
      </c>
      <c r="N39" s="57">
        <f t="shared" si="18"/>
        <v>1</v>
      </c>
      <c r="O39" s="138"/>
      <c r="P39" s="149"/>
      <c r="Q39" s="138"/>
      <c r="R39" s="8"/>
      <c r="S39" s="60">
        <f t="shared" si="5"/>
        <v>0</v>
      </c>
      <c r="T39" s="60" t="str">
        <f t="shared" si="19"/>
        <v xml:space="preserve"> </v>
      </c>
      <c r="U39" s="60" t="str">
        <f t="shared" si="20"/>
        <v xml:space="preserve"> </v>
      </c>
      <c r="W39">
        <f t="shared" si="21"/>
        <v>480</v>
      </c>
      <c r="X39">
        <f t="shared" si="22"/>
        <v>0</v>
      </c>
      <c r="Y39">
        <f t="shared" si="23"/>
        <v>480</v>
      </c>
      <c r="AD39" s="158">
        <f t="shared" si="25"/>
        <v>7</v>
      </c>
      <c r="AE39" s="158">
        <f t="shared" si="26"/>
        <v>0</v>
      </c>
      <c r="AF39" s="64">
        <f t="shared" si="27"/>
        <v>7</v>
      </c>
      <c r="AG39" s="169">
        <f t="shared" si="28"/>
        <v>15</v>
      </c>
      <c r="AH39" s="169">
        <f t="shared" si="29"/>
        <v>0</v>
      </c>
      <c r="AI39" s="64">
        <f t="shared" si="30"/>
        <v>15</v>
      </c>
      <c r="AJ39" s="169">
        <f t="shared" si="31"/>
        <v>8</v>
      </c>
      <c r="AK39" s="169">
        <f t="shared" si="32"/>
        <v>0</v>
      </c>
      <c r="AL39" s="64">
        <f t="shared" si="33"/>
        <v>8</v>
      </c>
    </row>
    <row r="40" spans="1:38" ht="15.75" x14ac:dyDescent="0.25">
      <c r="A40" s="2">
        <f t="shared" si="24"/>
        <v>46295</v>
      </c>
      <c r="B40" s="2">
        <f t="shared" si="15"/>
        <v>84</v>
      </c>
      <c r="C40" s="54" t="str">
        <f t="shared" si="0"/>
        <v>30.9. środa</v>
      </c>
      <c r="D40" s="159"/>
      <c r="E40" s="117" t="str">
        <f t="shared" si="16"/>
        <v xml:space="preserve"> </v>
      </c>
      <c r="F40" s="115">
        <v>7</v>
      </c>
      <c r="G40" s="115">
        <v>15</v>
      </c>
      <c r="H40" s="55">
        <f t="shared" si="1"/>
        <v>8</v>
      </c>
      <c r="I40" s="55">
        <f t="shared" si="2"/>
        <v>0</v>
      </c>
      <c r="J40" s="56">
        <f t="shared" si="3"/>
        <v>0</v>
      </c>
      <c r="K40" s="57">
        <f t="shared" si="34"/>
        <v>1</v>
      </c>
      <c r="L40" s="57">
        <f t="shared" si="17"/>
        <v>0</v>
      </c>
      <c r="M40" s="58" t="str">
        <f t="shared" si="4"/>
        <v>przerwa1</v>
      </c>
      <c r="N40" s="57">
        <f t="shared" si="18"/>
        <v>1</v>
      </c>
      <c r="O40" s="138"/>
      <c r="P40" s="149"/>
      <c r="Q40" s="138"/>
      <c r="R40" s="8"/>
      <c r="S40" s="60">
        <f t="shared" si="5"/>
        <v>0</v>
      </c>
      <c r="T40" s="60" t="str">
        <f t="shared" si="19"/>
        <v xml:space="preserve"> </v>
      </c>
      <c r="U40" s="60" t="str">
        <f t="shared" si="20"/>
        <v xml:space="preserve"> </v>
      </c>
      <c r="W40">
        <f t="shared" si="21"/>
        <v>480</v>
      </c>
      <c r="X40">
        <f t="shared" si="22"/>
        <v>0</v>
      </c>
      <c r="Y40">
        <f t="shared" si="23"/>
        <v>480</v>
      </c>
      <c r="AD40" s="158">
        <f t="shared" si="25"/>
        <v>7</v>
      </c>
      <c r="AE40" s="158">
        <f t="shared" si="26"/>
        <v>0</v>
      </c>
      <c r="AF40" s="64">
        <f t="shared" si="27"/>
        <v>7</v>
      </c>
      <c r="AG40" s="169">
        <f t="shared" si="28"/>
        <v>15</v>
      </c>
      <c r="AH40" s="169">
        <f t="shared" si="29"/>
        <v>0</v>
      </c>
      <c r="AI40" s="64">
        <f t="shared" si="30"/>
        <v>15</v>
      </c>
      <c r="AJ40" s="169">
        <f t="shared" si="31"/>
        <v>8</v>
      </c>
      <c r="AK40" s="169">
        <f t="shared" si="32"/>
        <v>0</v>
      </c>
      <c r="AL40" s="64">
        <f t="shared" si="33"/>
        <v>8</v>
      </c>
    </row>
    <row r="41" spans="1:38" ht="15.75" x14ac:dyDescent="0.25">
      <c r="A41" s="2">
        <f t="shared" si="24"/>
        <v>46296</v>
      </c>
      <c r="B41" s="2">
        <f t="shared" si="15"/>
        <v>84</v>
      </c>
      <c r="C41" s="54"/>
      <c r="D41" s="159"/>
      <c r="E41" s="117" t="str">
        <f>IF(D41="w","wolne",IF(D41="u","urlop",IF(D41="c","choroba",IF(D41="g","godziny",IF(D41="a","nieobecny"," ")))))</f>
        <v xml:space="preserve"> </v>
      </c>
      <c r="F41" s="115"/>
      <c r="G41" s="115"/>
      <c r="H41" s="55"/>
      <c r="I41" s="55"/>
      <c r="J41" s="56"/>
      <c r="K41" s="57"/>
      <c r="L41" s="57"/>
      <c r="M41" s="61"/>
      <c r="N41" s="57"/>
      <c r="O41" s="59"/>
      <c r="P41" s="149"/>
      <c r="Q41" s="138"/>
      <c r="R41" s="8"/>
      <c r="S41" s="60" t="str">
        <f t="shared" si="5"/>
        <v xml:space="preserve"> </v>
      </c>
      <c r="T41" s="60" t="str">
        <f t="shared" si="19"/>
        <v xml:space="preserve"> </v>
      </c>
      <c r="U41" s="60" t="str">
        <f t="shared" si="20"/>
        <v xml:space="preserve"> </v>
      </c>
      <c r="W41">
        <f t="shared" si="21"/>
        <v>0</v>
      </c>
      <c r="X41">
        <f t="shared" si="22"/>
        <v>0</v>
      </c>
      <c r="Y41">
        <f t="shared" si="23"/>
        <v>0</v>
      </c>
      <c r="AD41" s="158">
        <f t="shared" si="25"/>
        <v>0</v>
      </c>
      <c r="AE41" s="158">
        <f t="shared" si="26"/>
        <v>0</v>
      </c>
      <c r="AF41" s="64" t="str">
        <f t="shared" si="27"/>
        <v xml:space="preserve"> </v>
      </c>
      <c r="AG41" s="169">
        <f t="shared" si="28"/>
        <v>0</v>
      </c>
      <c r="AH41" s="169">
        <f t="shared" si="29"/>
        <v>0</v>
      </c>
      <c r="AI41" s="64" t="str">
        <f t="shared" si="30"/>
        <v xml:space="preserve"> </v>
      </c>
      <c r="AJ41" s="169" t="str">
        <f t="shared" si="31"/>
        <v/>
      </c>
      <c r="AK41" s="169" t="str">
        <f t="shared" si="32"/>
        <v/>
      </c>
      <c r="AL41" s="64" t="str">
        <f t="shared" si="33"/>
        <v xml:space="preserve"> </v>
      </c>
    </row>
    <row r="42" spans="1:38" ht="15.75" x14ac:dyDescent="0.25">
      <c r="A42" s="1"/>
      <c r="B42" s="1"/>
      <c r="C42" s="54"/>
      <c r="D42" s="116"/>
      <c r="E42" s="117"/>
      <c r="F42" s="116"/>
      <c r="G42" s="116"/>
      <c r="H42" s="55"/>
      <c r="I42" s="59"/>
      <c r="J42" s="59"/>
      <c r="K42" s="57">
        <f t="shared" si="34"/>
        <v>1</v>
      </c>
      <c r="L42" s="57">
        <f>IF(OR((D42="c"),(D42="u")),1,0)</f>
        <v>0</v>
      </c>
      <c r="M42" s="63"/>
      <c r="N42" s="57">
        <f>IF(OR((B42=83),(D42="w"),(D42="g"),(D42="c"),(D42="u")),0,1)</f>
        <v>1</v>
      </c>
      <c r="O42" s="64">
        <f>TRUNC(SUM(O11:O41)/60)+((SUM(O11:O41)/60)-(TRUNC(SUM(O11:O41)/60)))*60/100</f>
        <v>0</v>
      </c>
      <c r="P42" t="s">
        <v>132</v>
      </c>
      <c r="Q42" s="8"/>
      <c r="R42" s="8"/>
      <c r="S42" s="65">
        <f>SUM(S11:S41)</f>
        <v>0</v>
      </c>
      <c r="T42" s="66">
        <f>SUM(T11:T41)</f>
        <v>0</v>
      </c>
      <c r="U42" s="66">
        <f>SUM(U11:U41)</f>
        <v>0</v>
      </c>
    </row>
    <row r="43" spans="1:38" x14ac:dyDescent="0.25">
      <c r="A43" s="1"/>
      <c r="B43" s="1"/>
      <c r="C43" s="67"/>
      <c r="D43" s="21"/>
      <c r="E43" s="21"/>
      <c r="F43" s="21"/>
      <c r="G43" s="21"/>
      <c r="H43" s="21"/>
      <c r="I43" s="68"/>
      <c r="J43" s="68"/>
      <c r="K43" s="69"/>
      <c r="L43" s="69"/>
      <c r="M43" s="69"/>
      <c r="N43" s="70"/>
      <c r="O43" s="144"/>
      <c r="P43" s="8"/>
      <c r="Q43" s="8"/>
      <c r="R43" s="8"/>
      <c r="S43" s="71">
        <f>S42/60</f>
        <v>0</v>
      </c>
      <c r="T43" s="66"/>
      <c r="U43" s="8"/>
    </row>
    <row r="44" spans="1:38" ht="15" customHeight="1" x14ac:dyDescent="0.25">
      <c r="A44" s="1"/>
      <c r="B44" s="1"/>
      <c r="C44" s="67" t="s">
        <v>30</v>
      </c>
      <c r="D44" s="21"/>
      <c r="E44" s="72">
        <f>SUM(K11:K41)</f>
        <v>22</v>
      </c>
      <c r="F44" s="21" t="s">
        <v>31</v>
      </c>
      <c r="G44" s="21"/>
      <c r="H44" s="21"/>
      <c r="I44" s="73" t="s">
        <v>32</v>
      </c>
      <c r="J44" s="72">
        <f>SUM(N11:N41)</f>
        <v>22</v>
      </c>
      <c r="K44" s="74" t="s">
        <v>31</v>
      </c>
      <c r="L44" s="74"/>
      <c r="M44" s="74"/>
      <c r="N44" s="30"/>
      <c r="O44" s="141" t="s">
        <v>31</v>
      </c>
      <c r="P44" s="8"/>
      <c r="W44">
        <f>((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60)</f>
        <v>10560</v>
      </c>
      <c r="X44">
        <f>(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-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100)</f>
        <v>0</v>
      </c>
      <c r="Y44">
        <f>((TRUNC(O42)*60)+(O42-TRUNC(O42))*100)</f>
        <v>0</v>
      </c>
      <c r="Z44">
        <f>W44+X44+Y44</f>
        <v>10560</v>
      </c>
      <c r="AA44">
        <f>Z44/60</f>
        <v>176</v>
      </c>
      <c r="AB44">
        <f>TRUNC(AA44)</f>
        <v>176</v>
      </c>
      <c r="AC44">
        <f>(AA44-AB44)*60/100</f>
        <v>0</v>
      </c>
      <c r="AD44">
        <f>AB44+AC44</f>
        <v>176</v>
      </c>
    </row>
    <row r="45" spans="1:38" x14ac:dyDescent="0.25">
      <c r="A45" s="1"/>
      <c r="B45" s="1"/>
      <c r="C45" s="75" t="s">
        <v>33</v>
      </c>
      <c r="D45" s="21"/>
      <c r="E45" s="76">
        <f>ROUND(SUM(K11:K41)*godz,2)</f>
        <v>176</v>
      </c>
      <c r="F45" s="21" t="s">
        <v>34</v>
      </c>
      <c r="G45" s="21"/>
      <c r="H45" s="21"/>
      <c r="I45" s="73" t="s">
        <v>35</v>
      </c>
      <c r="J45" s="76">
        <f>AB44+AC44</f>
        <v>176</v>
      </c>
      <c r="K45" s="74" t="s">
        <v>34</v>
      </c>
      <c r="L45" s="74"/>
      <c r="M45" s="74"/>
      <c r="N45" s="30"/>
      <c r="O45" s="141" t="s">
        <v>34</v>
      </c>
      <c r="P45" s="8"/>
    </row>
    <row r="46" spans="1:38" x14ac:dyDescent="0.25">
      <c r="A46" s="1"/>
      <c r="B46" s="1"/>
      <c r="C46" s="67"/>
      <c r="D46" s="21"/>
      <c r="E46" s="76"/>
      <c r="F46" s="21"/>
      <c r="G46" s="21"/>
      <c r="H46" s="21"/>
      <c r="I46" s="73"/>
      <c r="J46" s="76"/>
      <c r="K46" s="74"/>
      <c r="L46" s="74"/>
      <c r="M46" s="74"/>
      <c r="N46" s="30"/>
      <c r="O46" s="141"/>
      <c r="P46" s="8"/>
    </row>
    <row r="47" spans="1:38" x14ac:dyDescent="0.25">
      <c r="A47" s="1"/>
      <c r="B47" s="1"/>
      <c r="C47" s="67"/>
      <c r="D47" s="21"/>
      <c r="E47" s="76"/>
      <c r="F47" s="21"/>
      <c r="G47" s="21"/>
      <c r="H47" s="21"/>
      <c r="I47" s="73" t="s">
        <v>36</v>
      </c>
      <c r="J47" s="72">
        <f>SUM(L11:L41)</f>
        <v>0</v>
      </c>
      <c r="K47" s="74" t="s">
        <v>37</v>
      </c>
      <c r="L47" s="74"/>
      <c r="M47" s="74"/>
      <c r="N47" s="30"/>
      <c r="O47" s="141" t="s">
        <v>37</v>
      </c>
      <c r="P47" s="8"/>
    </row>
    <row r="48" spans="1:38" x14ac:dyDescent="0.25">
      <c r="A48" s="1"/>
      <c r="B48" s="1"/>
      <c r="C48" s="67"/>
      <c r="D48" s="21"/>
      <c r="E48" s="21"/>
      <c r="F48" s="21"/>
      <c r="G48" s="21"/>
      <c r="H48" s="21"/>
      <c r="I48" s="73" t="s">
        <v>147</v>
      </c>
      <c r="J48" s="167"/>
      <c r="K48" s="78"/>
      <c r="L48" s="78"/>
      <c r="M48" s="78"/>
      <c r="N48" s="79"/>
      <c r="O48" s="141"/>
      <c r="P48" s="8"/>
    </row>
    <row r="49" spans="3:16" x14ac:dyDescent="0.25">
      <c r="C49" s="80" t="s">
        <v>61</v>
      </c>
      <c r="D49" s="21"/>
      <c r="E49" s="76">
        <f>TRUNC((((TRUNC(J45)*60)+(J45-TRUNC(J45))*100)-E45*60)/60)+((((((TRUNC(J45)*60)+(J45-TRUNC(J45))*100)-E45*60)/60)-TRUNC((((TRUNC(J45)*60)+(J45-TRUNC(J45))*100)-E45*60)/60))*60/100)</f>
        <v>0</v>
      </c>
      <c r="F49" s="21" t="s">
        <v>34</v>
      </c>
      <c r="G49" s="8"/>
      <c r="H49" s="73"/>
      <c r="I49" s="73" t="s">
        <v>148</v>
      </c>
      <c r="J49" s="76">
        <f>TRUNC((((ROUND(J47*godz,2))*60)-(TRUNC(J48)*60+(J48-TRUNC(J48))*100))/60)+((((((ROUND(J47*godz,2))*60)-(TRUNC(J48)*60+(J48-TRUNC(J48))*100))/60)-TRUNC((((ROUND(J47*godz,2))*60)-(TRUNC(J48)*60+(J48-TRUNC(J48))*100))/60))*60/100)</f>
        <v>0</v>
      </c>
      <c r="K49" s="77"/>
      <c r="L49" s="21"/>
      <c r="M49" s="21"/>
      <c r="N49" s="30"/>
      <c r="O49" s="142"/>
      <c r="P49" s="21"/>
    </row>
    <row r="50" spans="3:16" ht="15.75" customHeight="1" thickBot="1" x14ac:dyDescent="0.3">
      <c r="C50" s="163" t="s">
        <v>38</v>
      </c>
      <c r="D50" s="164"/>
      <c r="E50" s="165">
        <f>J49</f>
        <v>0</v>
      </c>
      <c r="F50" s="164" t="s">
        <v>34</v>
      </c>
      <c r="G50" s="82"/>
      <c r="H50" s="21"/>
      <c r="I50" s="83"/>
      <c r="J50" s="83"/>
      <c r="K50" s="21"/>
      <c r="L50" s="21"/>
      <c r="M50" s="21"/>
      <c r="N50" s="30"/>
      <c r="O50" s="30"/>
      <c r="P50" s="8"/>
    </row>
    <row r="51" spans="3:16" ht="15.75" thickBot="1" x14ac:dyDescent="0.3">
      <c r="C51" s="166" t="s">
        <v>134</v>
      </c>
      <c r="D51" s="164"/>
      <c r="E51" s="165">
        <f>TRUNC(((TRUNC(J45)*60+(J45-TRUNC(J45))*100)+(TRUNC(J49)*60+(J49-TRUNC(J49))*100))/60)+((((TRUNC(J45)*60+(J45-TRUNC(J45))*100)+(TRUNC(J49)*60+(J49-TRUNC(J49))*100))/60)-TRUNC(((TRUNC(J45)*60+(J45-TRUNC(J45))*100)+(TRUNC(J49)*60+(J49-TRUNC(J49))*100))/60))*60/100</f>
        <v>176</v>
      </c>
      <c r="F51" s="164" t="s">
        <v>34</v>
      </c>
      <c r="G51" s="21"/>
      <c r="H51" s="21"/>
      <c r="I51" s="83" t="s">
        <v>39</v>
      </c>
      <c r="J51" s="84">
        <f>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+(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-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)*60/100)</f>
        <v>0</v>
      </c>
      <c r="K51" s="83" t="s">
        <v>34</v>
      </c>
      <c r="L51" s="83"/>
      <c r="M51" s="85"/>
      <c r="N51" s="30"/>
      <c r="O51" s="143" t="s">
        <v>34</v>
      </c>
      <c r="P51" s="8"/>
    </row>
    <row r="52" spans="3:16" ht="15.75" thickBot="1" x14ac:dyDescent="0.3">
      <c r="C52" s="86"/>
      <c r="D52" s="87"/>
      <c r="E52" s="88" t="s">
        <v>40</v>
      </c>
      <c r="F52" s="89"/>
      <c r="G52" s="87"/>
      <c r="H52" s="87"/>
      <c r="I52" s="88" t="s">
        <v>40</v>
      </c>
      <c r="J52" s="88" t="s">
        <v>41</v>
      </c>
      <c r="K52" s="87"/>
      <c r="L52" s="87"/>
      <c r="M52" s="87"/>
      <c r="N52" s="90"/>
      <c r="O52" s="90"/>
      <c r="P52" s="8"/>
    </row>
    <row r="53" spans="3:16" x14ac:dyDescent="0.25">
      <c r="C53" s="91" t="s">
        <v>42</v>
      </c>
      <c r="D53" s="13"/>
      <c r="E53" s="13"/>
      <c r="F53" s="13"/>
      <c r="G53" s="13"/>
      <c r="H53" s="13"/>
      <c r="I53" s="92"/>
      <c r="J53" s="92"/>
      <c r="K53" s="92"/>
      <c r="L53" s="92"/>
      <c r="M53" s="92"/>
      <c r="N53" s="93"/>
      <c r="O53" s="147"/>
      <c r="P53" s="8"/>
    </row>
    <row r="54" spans="3:16" x14ac:dyDescent="0.25">
      <c r="C54" s="67" t="s">
        <v>43</v>
      </c>
      <c r="D54" s="21"/>
      <c r="E54" s="94">
        <f>'August 2026'!J54</f>
        <v>6.56</v>
      </c>
      <c r="F54" s="83" t="s">
        <v>34</v>
      </c>
      <c r="G54" s="21"/>
      <c r="H54" s="21"/>
      <c r="I54" s="95" t="s">
        <v>44</v>
      </c>
      <c r="J54" s="98">
        <f>TRUNC(SUM(((TRUNC(J51)*60)+((J51-TRUNC(J51))*100)),(TRUNC(E54)*60)+((E54-TRUNC(E54))*100))/60)+((SUM(((TRUNC(J51)*60)+((J51-TRUNC(J51))*100)),(TRUNC(E54)*60)+((E54-TRUNC(E54))*100))/60)-TRUNC((SUM(((TRUNC(J51)*60)+((J51-TRUNC(J51))*100)),(TRUNC(E54)*60)+((E54-TRUNC(E54))*100))/60)))*60/100</f>
        <v>6.56</v>
      </c>
      <c r="K54" s="96" t="s">
        <v>34</v>
      </c>
      <c r="L54" s="81"/>
      <c r="M54" s="81"/>
      <c r="N54" s="30"/>
      <c r="O54" s="145" t="s">
        <v>34</v>
      </c>
      <c r="P54" s="8"/>
    </row>
    <row r="55" spans="3:16" ht="15.75" thickBot="1" x14ac:dyDescent="0.3">
      <c r="C55" s="86"/>
      <c r="D55" s="87"/>
      <c r="E55" s="87"/>
      <c r="F55" s="87"/>
      <c r="G55" s="87"/>
      <c r="H55" s="87"/>
      <c r="I55" s="97"/>
      <c r="J55" s="97"/>
      <c r="K55" s="97"/>
      <c r="L55" s="97"/>
      <c r="M55" s="97"/>
      <c r="N55" s="90"/>
      <c r="O55" s="146"/>
      <c r="P55" s="8"/>
    </row>
    <row r="56" spans="3:16" x14ac:dyDescent="0.25">
      <c r="C56" s="10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</row>
    <row r="57" spans="3:16" x14ac:dyDescent="0.25">
      <c r="C57" s="6">
        <f>SUM(K11:K41)</f>
        <v>22</v>
      </c>
    </row>
    <row r="58" spans="3:16" x14ac:dyDescent="0.25">
      <c r="E58" s="161"/>
    </row>
  </sheetData>
  <sheetProtection selectLockedCells="1"/>
  <mergeCells count="3">
    <mergeCell ref="E2:F2"/>
    <mergeCell ref="E3:F3"/>
    <mergeCell ref="E4:F4"/>
  </mergeCells>
  <pageMargins left="0.7" right="0.7" top="0.75" bottom="0.75" header="0.3" footer="0.3"/>
  <pageSetup paperSize="9" orientation="portrait" horizontalDpi="4294967295" verticalDpi="4294967295" r:id="rId1"/>
  <ignoredErrors>
    <ignoredError sqref="J47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Dane!$A$1:$A$12</xm:f>
          </x14:formula1>
          <xm:sqref>D11:D41</xm:sqref>
        </x14:dataValidation>
        <x14:dataValidation type="list" allowBlank="1" showInputMessage="1" showErrorMessage="1">
          <x14:formula1>
            <xm:f>Dane!$G$2:$G$16</xm:f>
          </x14:formula1>
          <xm:sqref>P11:P41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0"/>
  <dimension ref="A1:AL58"/>
  <sheetViews>
    <sheetView topLeftCell="C16" zoomScaleNormal="100" workbookViewId="0">
      <selection activeCell="H36" sqref="H36"/>
    </sheetView>
  </sheetViews>
  <sheetFormatPr defaultColWidth="9.140625" defaultRowHeight="15" x14ac:dyDescent="0.25"/>
  <cols>
    <col min="1" max="1" width="3.42578125" hidden="1" customWidth="1"/>
    <col min="2" max="2" width="3" hidden="1" customWidth="1"/>
    <col min="3" max="3" width="19.85546875" customWidth="1"/>
    <col min="4" max="4" width="3.7109375" customWidth="1"/>
    <col min="5" max="5" width="14.28515625" bestFit="1" customWidth="1"/>
    <col min="8" max="8" width="7.42578125" customWidth="1"/>
    <col min="9" max="9" width="15.5703125" bestFit="1" customWidth="1"/>
    <col min="10" max="10" width="10" bestFit="1" customWidth="1"/>
    <col min="11" max="11" width="12" hidden="1" customWidth="1"/>
    <col min="12" max="12" width="11.28515625" hidden="1" customWidth="1"/>
    <col min="13" max="13" width="13.85546875" hidden="1" customWidth="1"/>
    <col min="14" max="14" width="15.28515625" hidden="1" customWidth="1"/>
    <col min="15" max="15" width="14.7109375" customWidth="1"/>
    <col min="17" max="17" width="13.28515625" customWidth="1"/>
    <col min="19" max="19" width="9.140625" hidden="1" customWidth="1"/>
    <col min="20" max="20" width="14.5703125" customWidth="1"/>
    <col min="21" max="21" width="14.85546875" customWidth="1"/>
    <col min="23" max="30" width="9.140625" hidden="1" customWidth="1"/>
    <col min="31" max="31" width="0" hidden="1" customWidth="1"/>
    <col min="32" max="32" width="12.28515625" bestFit="1" customWidth="1"/>
    <col min="33" max="34" width="0" hidden="1" customWidth="1"/>
    <col min="35" max="35" width="16" bestFit="1" customWidth="1"/>
    <col min="36" max="37" width="9.140625" hidden="1" customWidth="1"/>
    <col min="38" max="38" width="13.140625" bestFit="1" customWidth="1"/>
  </cols>
  <sheetData>
    <row r="1" spans="1:38" ht="18.75" thickBot="1" x14ac:dyDescent="0.3">
      <c r="A1" s="5" t="s">
        <v>48</v>
      </c>
      <c r="B1" s="1"/>
      <c r="C1" s="103" t="s">
        <v>0</v>
      </c>
      <c r="D1" s="104">
        <v>10</v>
      </c>
      <c r="E1" s="102"/>
      <c r="F1" s="102"/>
      <c r="G1" s="103" t="s">
        <v>1</v>
      </c>
      <c r="H1" s="105" t="str">
        <f>'Januar 2026'!rok</f>
        <v>2026</v>
      </c>
      <c r="I1" s="106" t="s">
        <v>2</v>
      </c>
      <c r="J1" s="104">
        <v>8</v>
      </c>
      <c r="K1" s="108"/>
      <c r="L1" s="109"/>
      <c r="M1" s="109"/>
      <c r="N1" s="110"/>
      <c r="O1" s="8"/>
      <c r="P1" s="8"/>
      <c r="Q1" s="9" t="str">
        <f>Dane!A2</f>
        <v>w</v>
      </c>
      <c r="R1" s="10" t="str">
        <f>Dane!B2</f>
        <v>dzień wolny ustawowo</v>
      </c>
      <c r="S1" s="8"/>
      <c r="T1" s="8"/>
      <c r="U1" s="123" t="str">
        <f>Dane!A9</f>
        <v>oc</v>
      </c>
      <c r="V1" s="8" t="str">
        <f>Dane!B9</f>
        <v>opieka nad chorym dzieckiem</v>
      </c>
    </row>
    <row r="2" spans="1:38" x14ac:dyDescent="0.25">
      <c r="A2" s="2"/>
      <c r="B2" s="1"/>
      <c r="C2" s="11"/>
      <c r="D2" s="11" t="s">
        <v>4</v>
      </c>
      <c r="E2" s="175"/>
      <c r="F2" s="176"/>
      <c r="G2" s="16"/>
      <c r="H2" s="17"/>
      <c r="I2" s="28" t="s">
        <v>5</v>
      </c>
      <c r="J2" s="101">
        <v>40</v>
      </c>
      <c r="K2" s="12" t="s">
        <v>6</v>
      </c>
      <c r="L2" s="13"/>
      <c r="M2" s="13"/>
      <c r="N2" s="14"/>
      <c r="O2" s="12" t="s">
        <v>6</v>
      </c>
      <c r="P2" s="8"/>
      <c r="Q2" s="9" t="str">
        <f>Dane!A3</f>
        <v>u</v>
      </c>
      <c r="R2" s="10" t="str">
        <f>Dane!B3</f>
        <v>urlop</v>
      </c>
      <c r="S2" s="8"/>
      <c r="T2" s="8"/>
      <c r="U2" s="122" t="str">
        <f>Dane!A10</f>
        <v>um</v>
      </c>
      <c r="V2" s="8" t="str">
        <f>Dane!B10</f>
        <v>urlop macierzyński</v>
      </c>
    </row>
    <row r="3" spans="1:38" x14ac:dyDescent="0.25">
      <c r="A3" s="1"/>
      <c r="B3" s="1"/>
      <c r="C3" s="15"/>
      <c r="D3" s="15" t="s">
        <v>46</v>
      </c>
      <c r="E3" s="175"/>
      <c r="F3" s="176"/>
      <c r="G3" s="16"/>
      <c r="H3" s="17"/>
      <c r="I3" s="18"/>
      <c r="J3" s="19"/>
      <c r="K3" s="20"/>
      <c r="L3" s="21"/>
      <c r="M3" s="21"/>
      <c r="N3" s="22"/>
      <c r="O3" s="20"/>
      <c r="P3" s="8"/>
      <c r="Q3" s="9" t="str">
        <f>Dane!A4</f>
        <v>c</v>
      </c>
      <c r="R3" s="10" t="str">
        <f>Dane!B4</f>
        <v>choroba</v>
      </c>
      <c r="S3" s="8"/>
      <c r="T3" s="8"/>
      <c r="U3" s="122" t="str">
        <f>Dane!A11</f>
        <v>uz</v>
      </c>
      <c r="V3" s="8" t="str">
        <f>Dane!B11</f>
        <v>urlop zaplanowany</v>
      </c>
    </row>
    <row r="4" spans="1:38" ht="15.75" thickBot="1" x14ac:dyDescent="0.3">
      <c r="A4" s="3"/>
      <c r="B4" s="1"/>
      <c r="C4" s="15"/>
      <c r="D4" s="23" t="s">
        <v>11</v>
      </c>
      <c r="E4" s="175"/>
      <c r="F4" s="176"/>
      <c r="G4" s="16"/>
      <c r="H4" s="17"/>
      <c r="I4" s="18"/>
      <c r="J4" s="19"/>
      <c r="K4" s="20"/>
      <c r="L4" s="21"/>
      <c r="M4" s="21"/>
      <c r="N4" s="22"/>
      <c r="O4" s="20"/>
      <c r="P4" s="8"/>
      <c r="Q4" s="9" t="str">
        <f>Dane!A5</f>
        <v>g</v>
      </c>
      <c r="R4" s="10" t="str">
        <f>Dane!B5</f>
        <v xml:space="preserve">godz.(rządanie pracownika) </v>
      </c>
      <c r="S4" s="8"/>
      <c r="T4" s="8"/>
      <c r="U4" s="122" t="str">
        <f>Dane!A12</f>
        <v>gp</v>
      </c>
      <c r="V4" t="str">
        <f>Dane!B12</f>
        <v xml:space="preserve">godz.(rządanie pracodawcy) </v>
      </c>
    </row>
    <row r="5" spans="1:38" x14ac:dyDescent="0.25">
      <c r="A5" s="3"/>
      <c r="B5" s="1"/>
      <c r="C5" s="15"/>
      <c r="D5" s="24"/>
      <c r="E5" s="25"/>
      <c r="F5" s="26"/>
      <c r="G5" s="27"/>
      <c r="H5" s="17"/>
      <c r="I5" s="28" t="s">
        <v>12</v>
      </c>
      <c r="J5" s="111">
        <v>0</v>
      </c>
      <c r="K5" s="29" t="s">
        <v>13</v>
      </c>
      <c r="L5" s="21"/>
      <c r="M5" s="21"/>
      <c r="N5" s="30"/>
      <c r="O5" s="29" t="s">
        <v>13</v>
      </c>
      <c r="P5" s="8"/>
      <c r="Q5" s="9" t="str">
        <f>Dane!A6</f>
        <v>s</v>
      </c>
      <c r="R5" s="10" t="str">
        <f>Dane!B6</f>
        <v>urlop specjalny/okolicznościow</v>
      </c>
      <c r="S5" s="8"/>
      <c r="T5" s="8"/>
      <c r="U5" s="9"/>
    </row>
    <row r="6" spans="1:38" x14ac:dyDescent="0.25">
      <c r="A6" s="3"/>
      <c r="B6" s="1"/>
      <c r="C6" s="15"/>
      <c r="D6" s="23"/>
      <c r="E6" s="31"/>
      <c r="F6" s="32"/>
      <c r="G6" s="33"/>
      <c r="H6" s="17"/>
      <c r="I6" s="21"/>
      <c r="J6" s="112">
        <v>0</v>
      </c>
      <c r="K6" s="29" t="s">
        <v>16</v>
      </c>
      <c r="L6" s="21"/>
      <c r="M6" s="21"/>
      <c r="N6" s="30"/>
      <c r="O6" s="29" t="s">
        <v>16</v>
      </c>
      <c r="P6" s="8"/>
      <c r="Q6" s="9" t="str">
        <f>Dane!A7</f>
        <v>a</v>
      </c>
      <c r="R6" s="10" t="str">
        <f>Dane!B7</f>
        <v>nieobecny</v>
      </c>
      <c r="S6" s="8"/>
      <c r="T6" s="8"/>
      <c r="U6" s="8"/>
    </row>
    <row r="7" spans="1:38" ht="15.75" thickBot="1" x14ac:dyDescent="0.3">
      <c r="A7" s="1"/>
      <c r="B7" s="1"/>
      <c r="C7" s="34"/>
      <c r="D7" s="35"/>
      <c r="E7" s="35"/>
      <c r="F7" s="35"/>
      <c r="G7" s="35"/>
      <c r="H7" s="17"/>
      <c r="I7" s="28" t="s">
        <v>17</v>
      </c>
      <c r="J7" s="113">
        <v>8</v>
      </c>
      <c r="K7" s="20" t="s">
        <v>18</v>
      </c>
      <c r="L7" s="21"/>
      <c r="M7" s="21"/>
      <c r="N7" s="30"/>
      <c r="O7" s="20" t="s">
        <v>18</v>
      </c>
      <c r="P7" s="8"/>
      <c r="Q7" s="9" t="str">
        <f>Dane!A8</f>
        <v>op</v>
      </c>
      <c r="R7" s="10" t="str">
        <f>Dane!B8</f>
        <v>opieka nad zdrowym dzieckiem</v>
      </c>
      <c r="S7" s="8"/>
      <c r="T7" s="8"/>
      <c r="U7" s="8"/>
    </row>
    <row r="8" spans="1:38" ht="23.25" x14ac:dyDescent="0.35">
      <c r="A8" s="2"/>
      <c r="B8" s="2"/>
      <c r="C8" s="99" t="s">
        <v>45</v>
      </c>
      <c r="D8" s="7"/>
      <c r="E8" s="7"/>
      <c r="F8" s="100" t="str">
        <f>TEXT(DATE(H1,D1,1),"MMMM rrrr")</f>
        <v>październik 2026</v>
      </c>
      <c r="G8" s="36"/>
      <c r="H8" s="37"/>
      <c r="I8" s="38"/>
      <c r="J8" s="39"/>
      <c r="K8" s="39"/>
      <c r="L8" s="39"/>
      <c r="M8" s="39"/>
      <c r="N8" s="40"/>
      <c r="O8" s="41"/>
      <c r="P8" s="42"/>
      <c r="Q8" s="41"/>
      <c r="R8" s="42"/>
      <c r="S8" s="41"/>
      <c r="T8" s="41"/>
      <c r="U8" s="42"/>
    </row>
    <row r="9" spans="1:38" ht="15.75" thickBot="1" x14ac:dyDescent="0.3">
      <c r="A9" s="2"/>
      <c r="B9" s="2"/>
      <c r="C9" s="43"/>
      <c r="D9" s="44" t="s">
        <v>21</v>
      </c>
      <c r="E9" s="45" t="str">
        <f>TEXT(F9,"DDDD ")</f>
        <v xml:space="preserve">czwartek </v>
      </c>
      <c r="F9" s="45">
        <f>DATE(H1,D1,1)</f>
        <v>46296</v>
      </c>
      <c r="G9" s="44" t="s">
        <v>22</v>
      </c>
      <c r="H9" s="46" t="str">
        <f>TEXT(I9,"DDDD ")</f>
        <v xml:space="preserve">sobota </v>
      </c>
      <c r="I9" s="45">
        <f>DATE(YEAR(F9),MONTH(F9+31),DAY(F9))-1</f>
        <v>46326</v>
      </c>
      <c r="J9" s="47"/>
      <c r="K9" s="47"/>
      <c r="L9" s="47"/>
      <c r="M9" s="47"/>
      <c r="N9" s="30"/>
      <c r="O9" s="48"/>
      <c r="P9" s="49"/>
      <c r="Q9" s="48"/>
      <c r="R9" s="49"/>
      <c r="S9" s="48"/>
      <c r="T9" s="48"/>
      <c r="U9" s="49"/>
    </row>
    <row r="10" spans="1:38" ht="52.5" thickBot="1" x14ac:dyDescent="0.3">
      <c r="A10" s="4"/>
      <c r="B10" s="4"/>
      <c r="C10" s="50" t="s">
        <v>23</v>
      </c>
      <c r="D10" s="51"/>
      <c r="E10" s="51" t="s">
        <v>24</v>
      </c>
      <c r="F10" s="51" t="s">
        <v>25</v>
      </c>
      <c r="G10" s="51" t="s">
        <v>26</v>
      </c>
      <c r="H10" s="51" t="s">
        <v>27</v>
      </c>
      <c r="I10" s="51" t="s">
        <v>137</v>
      </c>
      <c r="J10" s="51" t="s">
        <v>28</v>
      </c>
      <c r="K10" s="51"/>
      <c r="L10" s="51" t="s">
        <v>100</v>
      </c>
      <c r="M10" s="51"/>
      <c r="N10" s="52"/>
      <c r="O10" s="114" t="s">
        <v>54</v>
      </c>
      <c r="P10" s="51" t="s">
        <v>105</v>
      </c>
      <c r="Q10" s="139" t="s">
        <v>101</v>
      </c>
      <c r="R10" s="53"/>
      <c r="S10" s="51"/>
      <c r="T10" s="114" t="s">
        <v>49</v>
      </c>
      <c r="U10" s="114" t="s">
        <v>50</v>
      </c>
      <c r="W10" t="s">
        <v>138</v>
      </c>
      <c r="X10" t="s">
        <v>139</v>
      </c>
      <c r="Y10" t="s">
        <v>140</v>
      </c>
      <c r="AF10" s="171" t="s">
        <v>152</v>
      </c>
      <c r="AG10" s="171"/>
      <c r="AH10" s="171"/>
      <c r="AI10" s="171" t="s">
        <v>153</v>
      </c>
      <c r="AJ10" s="171"/>
      <c r="AK10" s="171"/>
      <c r="AL10" s="171" t="s">
        <v>154</v>
      </c>
    </row>
    <row r="11" spans="1:38" ht="15.75" x14ac:dyDescent="0.25">
      <c r="A11" s="2">
        <f>DATE(H1,D1,1)</f>
        <v>46296</v>
      </c>
      <c r="B11" s="2">
        <f>CODE(TEXT(A11,"TTTT"))</f>
        <v>84</v>
      </c>
      <c r="C11" s="54" t="str">
        <f t="shared" ref="C11:C41" si="0">TEXT(A11,"DD.M. DDDD")</f>
        <v>01.10. czwartek</v>
      </c>
      <c r="D11" s="159"/>
      <c r="E11" s="117" t="str">
        <f>IF(D11="w","wolne",IF(D11="u","urlop",IF(D11="c","choroba",IF(D11="g","godziny",IF(D11="a","nieobecny"," ")))))</f>
        <v xml:space="preserve"> </v>
      </c>
      <c r="F11" s="115">
        <v>8</v>
      </c>
      <c r="G11" s="115">
        <v>16</v>
      </c>
      <c r="H11" s="55">
        <f t="shared" ref="H11:H41" si="1">IF(D11="d",(((((TRUNC(G11)-1)-TRUNC(F11))*60)+((G11-TRUNC(G11))*100)+(60-(F11-TRUNC(F11))*100))-(IF(M11&lt;przerwa1,pause,przerwa1)))/60,IF((OR((B11=83),(D11="u"),(D11="uz"),(D11="a"),(D11="c"),(D11="s"),(AND(D11="w",F11="")),(D11="oc"),(D11="um"),(D11="op"),(D11="oc"))),"",IF(OR(D11="g",AND(D11="gp",F11="")),0,TRUNC((((TRUNC(G11)*60+(G11-(TRUNC(G11)))*100)-(TRUNC(F11)*60+(F11-TRUNC(F11))*100))-(IF(M11&lt;przerwa1,pause,przerwa1)))/60)+(((((TRUNC(G11)*60+(G11-(TRUNC(G11)))*100)-(TRUNC(F11)*60+(F11-TRUNC(F11))*100))-(IF(M11&lt;przerwa1,pause,przerwa1)))/60)-TRUNC(((((TRUNC(G11)*60+(G11-(TRUNC(G11)))*100)-(TRUNC(F11)*60+(F11-TRUNC(F11))*100))-(IF(M11&lt;przerwa1,pause,przerwa1)))/60)))*60/100)))</f>
        <v>8</v>
      </c>
      <c r="I11" s="55">
        <f t="shared" ref="I11:I41" si="2">IF(AND(D11="gp",F11=""),-(TRUNC(godz/1.5)+((godz/1.5)-TRUNC(godz/1.5))*60/100),IF(AND(D11="gp",F11&lt;&gt;"",G11&lt;&gt;""),ROUND(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+(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-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)*60/100,2),IF(OR((B11=83),(D11="w"),(D11="s"),(D11="c"),(D11="a"),(D11="oc"),(D11="um"),(D11="op"),(D11="uz"),(D11="u")),"",ROUND((TRUNC(H11-godz)+(((TRUNC(H11)*60)+(H11-TRUNC(H11))*100)-(godz*60)-(TRUNC(H11-godz)*60))/100),2))))</f>
        <v>0</v>
      </c>
      <c r="J11" s="56">
        <f t="shared" ref="J11:J41" si="3">IF(D11="gp",(TRUNC(I11)*60+(I11-TRUNC(I11))*100),IF(OR((I11=""),(B11=83)),"",IF((I11=0),0,TRUNC(H11-godz)*60+(((TRUNC(H11)*60)+(H11-TRUNC(H11))*100)-(godz*60)-(TRUNC(H11-godz)*60)))))</f>
        <v>0</v>
      </c>
      <c r="K11" s="57">
        <f>IF(OR((B11=83),(D11="w")),0,1)</f>
        <v>1</v>
      </c>
      <c r="L11" s="57">
        <f>IF(OR((D11="c"),(D11="u"),(D11="uz"),(D11="um"),(D11="op"),(D11="oc"),(D11="s")),1,0)</f>
        <v>0</v>
      </c>
      <c r="M11" s="58" t="str">
        <f t="shared" ref="M11:M41" si="4">IF(((((((TRUNC(G11)-1)-TRUNC(F11))*60)+((G11-TRUNC(G11))*100)+(60-(F11-TRUNC(F11))*100)))/100)&lt;pause2,"przerwa1","pause")</f>
        <v>przerwa1</v>
      </c>
      <c r="N11" s="57">
        <f>IF(OR((B11=83),(D11="w"),(D11="g"),(D11="c"),(D11="u"),(D11="uz"),(D11="op"),(D11="oc")),0,1)</f>
        <v>1</v>
      </c>
      <c r="O11" s="137"/>
      <c r="P11" s="149"/>
      <c r="Q11" s="137"/>
      <c r="R11" s="8"/>
      <c r="S11" s="60">
        <f t="shared" ref="S11:S41" si="5">IF(H11&lt;&gt;"",IF(D11="w",((TRUNC(H11)*60)+(H11-TRUNC(H11))*100),((TRUNC(H11)*60+(H11-TRUNC(H11))*100)-pause2*60-O11))," ")</f>
        <v>0</v>
      </c>
      <c r="T11" s="60" t="str">
        <f>IF(S11&gt;0,S11," ")</f>
        <v xml:space="preserve"> </v>
      </c>
      <c r="U11" s="60" t="str">
        <f>IF(S11&lt;0,S11," ")</f>
        <v xml:space="preserve"> </v>
      </c>
      <c r="W11">
        <f>IF(H11="",0,TRUNC(H11)*60)</f>
        <v>480</v>
      </c>
      <c r="X11">
        <f>IF(H11="",0,ROUND((H11-TRUNC(H11))*100,0)-O11)</f>
        <v>0</v>
      </c>
      <c r="Y11">
        <f>IF(D11="gp",(TRUNC(I11)*60+(I11-TRUNC(I11))*100),(IF(D11="g",(TRUNC(I11)*60+(I11-TRUNC(I11))*100),W11+X11)))</f>
        <v>480</v>
      </c>
      <c r="AD11" s="158">
        <f t="shared" ref="AD11:AD12" si="6">TRUNC(F11)</f>
        <v>8</v>
      </c>
      <c r="AE11" s="158">
        <f t="shared" ref="AE11:AE12" si="7">F11-TRUNC(F11)</f>
        <v>0</v>
      </c>
      <c r="AF11" s="64">
        <f t="shared" ref="AF11:AF12" si="8">IF(F11&lt;&gt;0,AD11+(AE11/0.6)," ")</f>
        <v>8</v>
      </c>
      <c r="AG11" s="169">
        <f t="shared" ref="AG11:AG12" si="9">TRUNC(G11)</f>
        <v>16</v>
      </c>
      <c r="AH11" s="169">
        <f t="shared" ref="AH11:AH12" si="10">G11-TRUNC(G11)</f>
        <v>0</v>
      </c>
      <c r="AI11" s="64">
        <f t="shared" ref="AI11:AI12" si="11">IF(G11&lt;&gt;0,AG11+(AH11/0.6)," ")</f>
        <v>16</v>
      </c>
      <c r="AJ11" s="169">
        <f t="shared" ref="AJ11:AJ12" si="12">IF(H11&lt;&gt;"",TRUNC(H11),"")</f>
        <v>8</v>
      </c>
      <c r="AK11" s="169">
        <f t="shared" ref="AK11:AK12" si="13">IF(H11&lt;&gt;"",H11-AJ11,"")</f>
        <v>0</v>
      </c>
      <c r="AL11" s="64">
        <f t="shared" ref="AL11:AL12" si="14">IF(H11&lt;&gt;"",AJ11+(AK11/0.6)," ")</f>
        <v>8</v>
      </c>
    </row>
    <row r="12" spans="1:38" ht="15.75" x14ac:dyDescent="0.25">
      <c r="A12" s="2">
        <f>(A11+1)</f>
        <v>46297</v>
      </c>
      <c r="B12" s="2">
        <f t="shared" ref="B12:B41" si="15">CODE(TEXT(A12,"TTTT"))</f>
        <v>84</v>
      </c>
      <c r="C12" s="54" t="str">
        <f t="shared" si="0"/>
        <v>02.10. piątek</v>
      </c>
      <c r="D12" s="159"/>
      <c r="E12" s="117" t="str">
        <f t="shared" ref="E12:E41" si="16">IF(D12="w","wolne",IF(D12="u","urlop",IF(D12="c","choroba",IF(D12="g","godziny",IF(D12="a","nieobecny"," ")))))</f>
        <v xml:space="preserve"> </v>
      </c>
      <c r="F12" s="115">
        <v>8</v>
      </c>
      <c r="G12" s="115">
        <v>16</v>
      </c>
      <c r="H12" s="55">
        <f t="shared" si="1"/>
        <v>8</v>
      </c>
      <c r="I12" s="55">
        <f t="shared" si="2"/>
        <v>0</v>
      </c>
      <c r="J12" s="56">
        <f t="shared" si="3"/>
        <v>0</v>
      </c>
      <c r="K12" s="57">
        <f>IF(OR((B12=83),(D12="w")),0,1)</f>
        <v>1</v>
      </c>
      <c r="L12" s="57">
        <f t="shared" ref="L12:L41" si="17">IF(OR((D12="c"),(D12="u"),(D12="uz"),(D12="um"),(D12="op"),(D12="oc"),(D12="s")),1,0)</f>
        <v>0</v>
      </c>
      <c r="M12" s="58" t="str">
        <f t="shared" si="4"/>
        <v>przerwa1</v>
      </c>
      <c r="N12" s="57">
        <f t="shared" ref="N12:N41" si="18">IF(OR((B12=83),(D12="w"),(D12="g"),(D12="c"),(D12="u"),(D12="uz"),(D12="op"),(D12="oc")),0,1)</f>
        <v>1</v>
      </c>
      <c r="O12" s="138"/>
      <c r="P12" s="149"/>
      <c r="Q12" s="137"/>
      <c r="R12" s="8"/>
      <c r="S12" s="60">
        <f t="shared" si="5"/>
        <v>0</v>
      </c>
      <c r="T12" s="60" t="str">
        <f t="shared" ref="T12:T41" si="19">IF(S12&gt;0,S12," ")</f>
        <v xml:space="preserve"> </v>
      </c>
      <c r="U12" s="60" t="str">
        <f t="shared" ref="U12:U41" si="20">IF(S12&lt;0,S12," ")</f>
        <v xml:space="preserve"> </v>
      </c>
      <c r="W12">
        <f t="shared" ref="W12:W41" si="21">IF(H12="",0,TRUNC(H12)*60)</f>
        <v>480</v>
      </c>
      <c r="X12">
        <f t="shared" ref="X12:X41" si="22">IF(H12="",0,ROUND((H12-TRUNC(H12))*100,0)-O12)</f>
        <v>0</v>
      </c>
      <c r="Y12">
        <f t="shared" ref="Y12:Y41" si="23">IF(D12="gp",(TRUNC(I12)*60+(I12-TRUNC(I12))*100),(IF(D12="g",(TRUNC(I12)*60+(I12-TRUNC(I12))*100),W12+X12)))</f>
        <v>480</v>
      </c>
      <c r="AD12" s="158">
        <f t="shared" si="6"/>
        <v>8</v>
      </c>
      <c r="AE12" s="158">
        <f t="shared" si="7"/>
        <v>0</v>
      </c>
      <c r="AF12" s="64">
        <f t="shared" si="8"/>
        <v>8</v>
      </c>
      <c r="AG12" s="169">
        <f t="shared" si="9"/>
        <v>16</v>
      </c>
      <c r="AH12" s="169">
        <f t="shared" si="10"/>
        <v>0</v>
      </c>
      <c r="AI12" s="64">
        <f t="shared" si="11"/>
        <v>16</v>
      </c>
      <c r="AJ12" s="169">
        <f t="shared" si="12"/>
        <v>8</v>
      </c>
      <c r="AK12" s="169">
        <f t="shared" si="13"/>
        <v>0</v>
      </c>
      <c r="AL12" s="64">
        <f t="shared" si="14"/>
        <v>8</v>
      </c>
    </row>
    <row r="13" spans="1:38" ht="15.75" x14ac:dyDescent="0.25">
      <c r="A13" s="2">
        <f t="shared" ref="A13:A41" si="24">(A12+1)</f>
        <v>46298</v>
      </c>
      <c r="B13" s="2">
        <f t="shared" si="15"/>
        <v>84</v>
      </c>
      <c r="C13" s="54" t="str">
        <f t="shared" si="0"/>
        <v>03.10. sobota</v>
      </c>
      <c r="D13" s="159" t="s">
        <v>47</v>
      </c>
      <c r="E13" s="117" t="str">
        <f t="shared" si="16"/>
        <v>wolne</v>
      </c>
      <c r="F13" s="115"/>
      <c r="G13" s="115"/>
      <c r="H13" s="55" t="str">
        <f t="shared" si="1"/>
        <v/>
      </c>
      <c r="I13" s="55" t="str">
        <f t="shared" si="2"/>
        <v/>
      </c>
      <c r="J13" s="56" t="str">
        <f t="shared" si="3"/>
        <v/>
      </c>
      <c r="K13" s="57">
        <f>IF(OR((B13=83),(D13="w")),0,1)</f>
        <v>0</v>
      </c>
      <c r="L13" s="57">
        <f t="shared" si="17"/>
        <v>0</v>
      </c>
      <c r="M13" s="58" t="str">
        <f t="shared" si="4"/>
        <v>przerwa1</v>
      </c>
      <c r="N13" s="57">
        <f t="shared" si="18"/>
        <v>0</v>
      </c>
      <c r="O13" s="138"/>
      <c r="P13" s="149"/>
      <c r="Q13" s="137"/>
      <c r="R13" s="8"/>
      <c r="S13" s="60" t="str">
        <f t="shared" si="5"/>
        <v xml:space="preserve"> </v>
      </c>
      <c r="T13" s="60" t="str">
        <f t="shared" si="19"/>
        <v xml:space="preserve"> </v>
      </c>
      <c r="U13" s="60" t="str">
        <f t="shared" si="20"/>
        <v xml:space="preserve"> </v>
      </c>
      <c r="W13">
        <f t="shared" si="21"/>
        <v>0</v>
      </c>
      <c r="X13">
        <f t="shared" si="22"/>
        <v>0</v>
      </c>
      <c r="Y13">
        <f t="shared" si="23"/>
        <v>0</v>
      </c>
      <c r="AD13" s="158">
        <f>TRUNC(F13)</f>
        <v>0</v>
      </c>
      <c r="AE13" s="158">
        <f>F13-TRUNC(F13)</f>
        <v>0</v>
      </c>
      <c r="AF13" s="64" t="str">
        <f>IF(F13&lt;&gt;0,AD13+(AE13/0.6)," ")</f>
        <v xml:space="preserve"> </v>
      </c>
      <c r="AG13" s="169">
        <f>TRUNC(G13)</f>
        <v>0</v>
      </c>
      <c r="AH13" s="169">
        <f>G13-TRUNC(G13)</f>
        <v>0</v>
      </c>
      <c r="AI13" s="64" t="str">
        <f>IF(G13&lt;&gt;0,AG13+(AH13/0.6)," ")</f>
        <v xml:space="preserve"> </v>
      </c>
      <c r="AJ13" s="169" t="str">
        <f>IF(H13&lt;&gt;"",TRUNC(H13),"")</f>
        <v/>
      </c>
      <c r="AK13" s="169" t="str">
        <f>IF(H13&lt;&gt;"",H13-AJ13,"")</f>
        <v/>
      </c>
      <c r="AL13" s="64" t="str">
        <f>IF(H13&lt;&gt;"",AJ13+(AK13/0.6)," ")</f>
        <v xml:space="preserve"> </v>
      </c>
    </row>
    <row r="14" spans="1:38" ht="15.75" x14ac:dyDescent="0.25">
      <c r="A14" s="2">
        <f t="shared" si="24"/>
        <v>46299</v>
      </c>
      <c r="B14" s="2">
        <f t="shared" si="15"/>
        <v>84</v>
      </c>
      <c r="C14" s="54" t="str">
        <f t="shared" si="0"/>
        <v>04.10. niedziela</v>
      </c>
      <c r="D14" s="159" t="s">
        <v>47</v>
      </c>
      <c r="E14" s="117" t="str">
        <f t="shared" si="16"/>
        <v>wolne</v>
      </c>
      <c r="F14" s="115"/>
      <c r="G14" s="115"/>
      <c r="H14" s="55" t="str">
        <f t="shared" si="1"/>
        <v/>
      </c>
      <c r="I14" s="55" t="str">
        <f t="shared" si="2"/>
        <v/>
      </c>
      <c r="J14" s="56" t="str">
        <f t="shared" si="3"/>
        <v/>
      </c>
      <c r="K14" s="57">
        <f>IF(OR((B14=83),(D14="w")),0,1)</f>
        <v>0</v>
      </c>
      <c r="L14" s="57">
        <f t="shared" si="17"/>
        <v>0</v>
      </c>
      <c r="M14" s="58" t="str">
        <f t="shared" si="4"/>
        <v>przerwa1</v>
      </c>
      <c r="N14" s="57">
        <f t="shared" si="18"/>
        <v>0</v>
      </c>
      <c r="O14" s="138"/>
      <c r="P14" s="149"/>
      <c r="Q14" s="137"/>
      <c r="R14" s="8"/>
      <c r="S14" s="60" t="str">
        <f t="shared" si="5"/>
        <v xml:space="preserve"> </v>
      </c>
      <c r="T14" s="60" t="str">
        <f t="shared" si="19"/>
        <v xml:space="preserve"> </v>
      </c>
      <c r="U14" s="60" t="str">
        <f t="shared" si="20"/>
        <v xml:space="preserve"> </v>
      </c>
      <c r="W14">
        <f t="shared" si="21"/>
        <v>0</v>
      </c>
      <c r="X14">
        <f t="shared" si="22"/>
        <v>0</v>
      </c>
      <c r="Y14">
        <f t="shared" si="23"/>
        <v>0</v>
      </c>
      <c r="AD14" s="158">
        <f t="shared" ref="AD14:AD41" si="25">TRUNC(F14)</f>
        <v>0</v>
      </c>
      <c r="AE14" s="158">
        <f t="shared" ref="AE14:AE41" si="26">F14-TRUNC(F14)</f>
        <v>0</v>
      </c>
      <c r="AF14" s="64" t="str">
        <f t="shared" ref="AF14:AF41" si="27">IF(F14&lt;&gt;0,AD14+(AE14/0.6)," ")</f>
        <v xml:space="preserve"> </v>
      </c>
      <c r="AG14" s="169">
        <f t="shared" ref="AG14:AG41" si="28">TRUNC(G14)</f>
        <v>0</v>
      </c>
      <c r="AH14" s="169">
        <f t="shared" ref="AH14:AH41" si="29">G14-TRUNC(G14)</f>
        <v>0</v>
      </c>
      <c r="AI14" s="64" t="str">
        <f t="shared" ref="AI14:AI41" si="30">IF(G14&lt;&gt;0,AG14+(AH14/0.6)," ")</f>
        <v xml:space="preserve"> </v>
      </c>
      <c r="AJ14" s="169" t="str">
        <f t="shared" ref="AJ14:AJ41" si="31">IF(H14&lt;&gt;"",TRUNC(H14),"")</f>
        <v/>
      </c>
      <c r="AK14" s="169" t="str">
        <f t="shared" ref="AK14:AK41" si="32">IF(H14&lt;&gt;"",H14-AJ14,"")</f>
        <v/>
      </c>
      <c r="AL14" s="64" t="str">
        <f t="shared" ref="AL14:AL41" si="33">IF(H14&lt;&gt;"",AJ14+(AK14/0.6)," ")</f>
        <v xml:space="preserve"> </v>
      </c>
    </row>
    <row r="15" spans="1:38" ht="15.75" x14ac:dyDescent="0.25">
      <c r="A15" s="2">
        <f t="shared" si="24"/>
        <v>46300</v>
      </c>
      <c r="B15" s="2">
        <f t="shared" si="15"/>
        <v>84</v>
      </c>
      <c r="C15" s="54" t="str">
        <f t="shared" si="0"/>
        <v>05.10. poniedziałek</v>
      </c>
      <c r="D15" s="159"/>
      <c r="E15" s="117" t="str">
        <f t="shared" si="16"/>
        <v xml:space="preserve"> </v>
      </c>
      <c r="F15" s="115">
        <v>8</v>
      </c>
      <c r="G15" s="115">
        <v>16</v>
      </c>
      <c r="H15" s="55">
        <f t="shared" si="1"/>
        <v>8</v>
      </c>
      <c r="I15" s="55">
        <f t="shared" si="2"/>
        <v>0</v>
      </c>
      <c r="J15" s="56">
        <f t="shared" si="3"/>
        <v>0</v>
      </c>
      <c r="K15" s="57">
        <f t="shared" ref="K15:K42" si="34">IF(OR((B15=83),(D15="w")),0,1)</f>
        <v>1</v>
      </c>
      <c r="L15" s="57">
        <f t="shared" si="17"/>
        <v>0</v>
      </c>
      <c r="M15" s="58" t="str">
        <f t="shared" si="4"/>
        <v>przerwa1</v>
      </c>
      <c r="N15" s="57">
        <f t="shared" si="18"/>
        <v>1</v>
      </c>
      <c r="O15" s="138"/>
      <c r="P15" s="149"/>
      <c r="Q15" s="138"/>
      <c r="R15" s="8"/>
      <c r="S15" s="60">
        <f t="shared" si="5"/>
        <v>0</v>
      </c>
      <c r="T15" s="60" t="str">
        <f t="shared" si="19"/>
        <v xml:space="preserve"> </v>
      </c>
      <c r="U15" s="60" t="str">
        <f t="shared" si="20"/>
        <v xml:space="preserve"> </v>
      </c>
      <c r="W15">
        <f t="shared" si="21"/>
        <v>480</v>
      </c>
      <c r="X15">
        <f t="shared" si="22"/>
        <v>0</v>
      </c>
      <c r="Y15">
        <f t="shared" si="23"/>
        <v>480</v>
      </c>
      <c r="AD15" s="158">
        <f t="shared" si="25"/>
        <v>8</v>
      </c>
      <c r="AE15" s="158">
        <f t="shared" si="26"/>
        <v>0</v>
      </c>
      <c r="AF15" s="64">
        <f t="shared" si="27"/>
        <v>8</v>
      </c>
      <c r="AG15" s="169">
        <f t="shared" si="28"/>
        <v>16</v>
      </c>
      <c r="AH15" s="169">
        <f t="shared" si="29"/>
        <v>0</v>
      </c>
      <c r="AI15" s="64">
        <f t="shared" si="30"/>
        <v>16</v>
      </c>
      <c r="AJ15" s="169">
        <f t="shared" si="31"/>
        <v>8</v>
      </c>
      <c r="AK15" s="169">
        <f t="shared" si="32"/>
        <v>0</v>
      </c>
      <c r="AL15" s="64">
        <f t="shared" si="33"/>
        <v>8</v>
      </c>
    </row>
    <row r="16" spans="1:38" ht="15.75" x14ac:dyDescent="0.25">
      <c r="A16" s="2">
        <f t="shared" si="24"/>
        <v>46301</v>
      </c>
      <c r="B16" s="2">
        <f t="shared" si="15"/>
        <v>84</v>
      </c>
      <c r="C16" s="54" t="str">
        <f t="shared" si="0"/>
        <v>06.10. wtorek</v>
      </c>
      <c r="D16" s="159"/>
      <c r="E16" s="117" t="str">
        <f t="shared" si="16"/>
        <v xml:space="preserve"> </v>
      </c>
      <c r="F16" s="115">
        <v>8</v>
      </c>
      <c r="G16" s="115">
        <v>16</v>
      </c>
      <c r="H16" s="55">
        <f t="shared" si="1"/>
        <v>8</v>
      </c>
      <c r="I16" s="55">
        <f t="shared" si="2"/>
        <v>0</v>
      </c>
      <c r="J16" s="56">
        <f t="shared" si="3"/>
        <v>0</v>
      </c>
      <c r="K16" s="57">
        <f t="shared" si="34"/>
        <v>1</v>
      </c>
      <c r="L16" s="57">
        <f t="shared" si="17"/>
        <v>0</v>
      </c>
      <c r="M16" s="58" t="str">
        <f t="shared" si="4"/>
        <v>przerwa1</v>
      </c>
      <c r="N16" s="57">
        <f t="shared" si="18"/>
        <v>1</v>
      </c>
      <c r="O16" s="138"/>
      <c r="P16" s="149"/>
      <c r="Q16" s="170"/>
      <c r="R16" s="8"/>
      <c r="S16" s="60">
        <f t="shared" si="5"/>
        <v>0</v>
      </c>
      <c r="T16" s="60" t="str">
        <f t="shared" si="19"/>
        <v xml:space="preserve"> </v>
      </c>
      <c r="U16" s="60" t="str">
        <f t="shared" si="20"/>
        <v xml:space="preserve"> </v>
      </c>
      <c r="W16">
        <f t="shared" si="21"/>
        <v>480</v>
      </c>
      <c r="X16">
        <f t="shared" si="22"/>
        <v>0</v>
      </c>
      <c r="Y16">
        <f t="shared" si="23"/>
        <v>480</v>
      </c>
      <c r="AD16" s="158">
        <f t="shared" si="25"/>
        <v>8</v>
      </c>
      <c r="AE16" s="158">
        <f t="shared" si="26"/>
        <v>0</v>
      </c>
      <c r="AF16" s="64">
        <f t="shared" si="27"/>
        <v>8</v>
      </c>
      <c r="AG16" s="169">
        <f t="shared" si="28"/>
        <v>16</v>
      </c>
      <c r="AH16" s="169">
        <f t="shared" si="29"/>
        <v>0</v>
      </c>
      <c r="AI16" s="64">
        <f t="shared" si="30"/>
        <v>16</v>
      </c>
      <c r="AJ16" s="169">
        <f t="shared" si="31"/>
        <v>8</v>
      </c>
      <c r="AK16" s="169">
        <f t="shared" si="32"/>
        <v>0</v>
      </c>
      <c r="AL16" s="64">
        <f t="shared" si="33"/>
        <v>8</v>
      </c>
    </row>
    <row r="17" spans="1:38" ht="15.75" x14ac:dyDescent="0.25">
      <c r="A17" s="2">
        <f t="shared" si="24"/>
        <v>46302</v>
      </c>
      <c r="B17" s="2">
        <f t="shared" si="15"/>
        <v>84</v>
      </c>
      <c r="C17" s="54" t="str">
        <f t="shared" si="0"/>
        <v>07.10. środa</v>
      </c>
      <c r="D17" s="159"/>
      <c r="E17" s="117" t="str">
        <f t="shared" si="16"/>
        <v xml:space="preserve"> </v>
      </c>
      <c r="F17" s="115">
        <v>8</v>
      </c>
      <c r="G17" s="115">
        <v>16</v>
      </c>
      <c r="H17" s="55">
        <f t="shared" si="1"/>
        <v>8</v>
      </c>
      <c r="I17" s="55">
        <f t="shared" si="2"/>
        <v>0</v>
      </c>
      <c r="J17" s="56">
        <f t="shared" si="3"/>
        <v>0</v>
      </c>
      <c r="K17" s="57">
        <f t="shared" si="34"/>
        <v>1</v>
      </c>
      <c r="L17" s="57">
        <f t="shared" si="17"/>
        <v>0</v>
      </c>
      <c r="M17" s="58" t="str">
        <f t="shared" si="4"/>
        <v>przerwa1</v>
      </c>
      <c r="N17" s="57">
        <f t="shared" si="18"/>
        <v>1</v>
      </c>
      <c r="O17" s="138"/>
      <c r="P17" s="149"/>
      <c r="Q17" s="170"/>
      <c r="R17" s="8"/>
      <c r="S17" s="60">
        <f t="shared" si="5"/>
        <v>0</v>
      </c>
      <c r="T17" s="60" t="str">
        <f t="shared" si="19"/>
        <v xml:space="preserve"> </v>
      </c>
      <c r="U17" s="60" t="str">
        <f t="shared" si="20"/>
        <v xml:space="preserve"> </v>
      </c>
      <c r="W17">
        <f t="shared" si="21"/>
        <v>480</v>
      </c>
      <c r="X17">
        <f t="shared" si="22"/>
        <v>0</v>
      </c>
      <c r="Y17">
        <f t="shared" si="23"/>
        <v>480</v>
      </c>
      <c r="AD17" s="158">
        <f t="shared" si="25"/>
        <v>8</v>
      </c>
      <c r="AE17" s="158">
        <f t="shared" si="26"/>
        <v>0</v>
      </c>
      <c r="AF17" s="64">
        <f t="shared" si="27"/>
        <v>8</v>
      </c>
      <c r="AG17" s="169">
        <f t="shared" si="28"/>
        <v>16</v>
      </c>
      <c r="AH17" s="169">
        <f t="shared" si="29"/>
        <v>0</v>
      </c>
      <c r="AI17" s="64">
        <f t="shared" si="30"/>
        <v>16</v>
      </c>
      <c r="AJ17" s="169">
        <f t="shared" si="31"/>
        <v>8</v>
      </c>
      <c r="AK17" s="169">
        <f t="shared" si="32"/>
        <v>0</v>
      </c>
      <c r="AL17" s="64">
        <f t="shared" si="33"/>
        <v>8</v>
      </c>
    </row>
    <row r="18" spans="1:38" ht="15.75" x14ac:dyDescent="0.25">
      <c r="A18" s="2">
        <f t="shared" si="24"/>
        <v>46303</v>
      </c>
      <c r="B18" s="2">
        <f t="shared" si="15"/>
        <v>84</v>
      </c>
      <c r="C18" s="54" t="str">
        <f t="shared" si="0"/>
        <v>08.10. czwartek</v>
      </c>
      <c r="D18" s="159"/>
      <c r="E18" s="117" t="str">
        <f t="shared" si="16"/>
        <v xml:space="preserve"> </v>
      </c>
      <c r="F18" s="115">
        <v>8</v>
      </c>
      <c r="G18" s="115">
        <v>16</v>
      </c>
      <c r="H18" s="55">
        <f t="shared" si="1"/>
        <v>8</v>
      </c>
      <c r="I18" s="55">
        <f t="shared" si="2"/>
        <v>0</v>
      </c>
      <c r="J18" s="56">
        <f t="shared" si="3"/>
        <v>0</v>
      </c>
      <c r="K18" s="57">
        <f t="shared" si="34"/>
        <v>1</v>
      </c>
      <c r="L18" s="57">
        <f t="shared" si="17"/>
        <v>0</v>
      </c>
      <c r="M18" s="58" t="str">
        <f t="shared" si="4"/>
        <v>przerwa1</v>
      </c>
      <c r="N18" s="57">
        <f t="shared" si="18"/>
        <v>1</v>
      </c>
      <c r="O18" s="138"/>
      <c r="P18" s="149"/>
      <c r="Q18" s="138"/>
      <c r="R18" s="8"/>
      <c r="S18" s="60">
        <f t="shared" si="5"/>
        <v>0</v>
      </c>
      <c r="T18" s="60" t="str">
        <f t="shared" si="19"/>
        <v xml:space="preserve"> </v>
      </c>
      <c r="U18" s="60" t="str">
        <f t="shared" si="20"/>
        <v xml:space="preserve"> </v>
      </c>
      <c r="W18">
        <f t="shared" si="21"/>
        <v>480</v>
      </c>
      <c r="X18">
        <f t="shared" si="22"/>
        <v>0</v>
      </c>
      <c r="Y18">
        <f t="shared" si="23"/>
        <v>480</v>
      </c>
      <c r="AD18" s="158">
        <f t="shared" si="25"/>
        <v>8</v>
      </c>
      <c r="AE18" s="158">
        <f t="shared" si="26"/>
        <v>0</v>
      </c>
      <c r="AF18" s="64">
        <f t="shared" si="27"/>
        <v>8</v>
      </c>
      <c r="AG18" s="169">
        <f t="shared" si="28"/>
        <v>16</v>
      </c>
      <c r="AH18" s="169">
        <f t="shared" si="29"/>
        <v>0</v>
      </c>
      <c r="AI18" s="64">
        <f t="shared" si="30"/>
        <v>16</v>
      </c>
      <c r="AJ18" s="169">
        <f t="shared" si="31"/>
        <v>8</v>
      </c>
      <c r="AK18" s="169">
        <f t="shared" si="32"/>
        <v>0</v>
      </c>
      <c r="AL18" s="64">
        <f t="shared" si="33"/>
        <v>8</v>
      </c>
    </row>
    <row r="19" spans="1:38" ht="15.75" x14ac:dyDescent="0.25">
      <c r="A19" s="2">
        <f t="shared" si="24"/>
        <v>46304</v>
      </c>
      <c r="B19" s="2">
        <f t="shared" si="15"/>
        <v>84</v>
      </c>
      <c r="C19" s="54" t="str">
        <f t="shared" si="0"/>
        <v>09.10. piątek</v>
      </c>
      <c r="D19" s="159"/>
      <c r="E19" s="117" t="str">
        <f t="shared" si="16"/>
        <v xml:space="preserve"> </v>
      </c>
      <c r="F19" s="115">
        <v>8</v>
      </c>
      <c r="G19" s="115">
        <v>16</v>
      </c>
      <c r="H19" s="55">
        <f t="shared" si="1"/>
        <v>8</v>
      </c>
      <c r="I19" s="55">
        <f t="shared" si="2"/>
        <v>0</v>
      </c>
      <c r="J19" s="56">
        <f t="shared" si="3"/>
        <v>0</v>
      </c>
      <c r="K19" s="57">
        <f t="shared" si="34"/>
        <v>1</v>
      </c>
      <c r="L19" s="57">
        <f t="shared" si="17"/>
        <v>0</v>
      </c>
      <c r="M19" s="58" t="str">
        <f t="shared" si="4"/>
        <v>przerwa1</v>
      </c>
      <c r="N19" s="57">
        <f t="shared" si="18"/>
        <v>1</v>
      </c>
      <c r="O19" s="138"/>
      <c r="P19" s="149"/>
      <c r="Q19" s="138"/>
      <c r="R19" s="8"/>
      <c r="S19" s="60">
        <f t="shared" si="5"/>
        <v>0</v>
      </c>
      <c r="T19" s="60" t="str">
        <f t="shared" si="19"/>
        <v xml:space="preserve"> </v>
      </c>
      <c r="U19" s="60" t="str">
        <f t="shared" si="20"/>
        <v xml:space="preserve"> </v>
      </c>
      <c r="W19">
        <f t="shared" si="21"/>
        <v>480</v>
      </c>
      <c r="X19">
        <f t="shared" si="22"/>
        <v>0</v>
      </c>
      <c r="Y19">
        <f t="shared" si="23"/>
        <v>480</v>
      </c>
      <c r="AD19" s="158">
        <f t="shared" si="25"/>
        <v>8</v>
      </c>
      <c r="AE19" s="158">
        <f t="shared" si="26"/>
        <v>0</v>
      </c>
      <c r="AF19" s="64">
        <f t="shared" si="27"/>
        <v>8</v>
      </c>
      <c r="AG19" s="169">
        <f t="shared" si="28"/>
        <v>16</v>
      </c>
      <c r="AH19" s="169">
        <f t="shared" si="29"/>
        <v>0</v>
      </c>
      <c r="AI19" s="64">
        <f t="shared" si="30"/>
        <v>16</v>
      </c>
      <c r="AJ19" s="169">
        <f t="shared" si="31"/>
        <v>8</v>
      </c>
      <c r="AK19" s="169">
        <f t="shared" si="32"/>
        <v>0</v>
      </c>
      <c r="AL19" s="64">
        <f t="shared" si="33"/>
        <v>8</v>
      </c>
    </row>
    <row r="20" spans="1:38" ht="15.75" x14ac:dyDescent="0.25">
      <c r="A20" s="2">
        <f t="shared" si="24"/>
        <v>46305</v>
      </c>
      <c r="B20" s="2">
        <f t="shared" si="15"/>
        <v>84</v>
      </c>
      <c r="C20" s="54" t="str">
        <f t="shared" si="0"/>
        <v>10.10. sobota</v>
      </c>
      <c r="D20" s="159" t="s">
        <v>47</v>
      </c>
      <c r="E20" s="117" t="str">
        <f t="shared" si="16"/>
        <v>wolne</v>
      </c>
      <c r="F20" s="115"/>
      <c r="G20" s="115"/>
      <c r="H20" s="55" t="str">
        <f t="shared" si="1"/>
        <v/>
      </c>
      <c r="I20" s="55" t="str">
        <f t="shared" si="2"/>
        <v/>
      </c>
      <c r="J20" s="56" t="str">
        <f t="shared" si="3"/>
        <v/>
      </c>
      <c r="K20" s="57">
        <f t="shared" si="34"/>
        <v>0</v>
      </c>
      <c r="L20" s="57">
        <f t="shared" si="17"/>
        <v>0</v>
      </c>
      <c r="M20" s="58" t="str">
        <f t="shared" si="4"/>
        <v>przerwa1</v>
      </c>
      <c r="N20" s="57">
        <f t="shared" si="18"/>
        <v>0</v>
      </c>
      <c r="O20" s="138"/>
      <c r="P20" s="149"/>
      <c r="Q20" s="138"/>
      <c r="R20" s="8"/>
      <c r="S20" s="60" t="str">
        <f t="shared" si="5"/>
        <v xml:space="preserve"> </v>
      </c>
      <c r="T20" s="60" t="str">
        <f t="shared" si="19"/>
        <v xml:space="preserve"> </v>
      </c>
      <c r="U20" s="60" t="str">
        <f t="shared" si="20"/>
        <v xml:space="preserve"> </v>
      </c>
      <c r="W20">
        <f t="shared" si="21"/>
        <v>0</v>
      </c>
      <c r="X20">
        <f t="shared" si="22"/>
        <v>0</v>
      </c>
      <c r="Y20">
        <f t="shared" si="23"/>
        <v>0</v>
      </c>
      <c r="AD20" s="158">
        <f t="shared" si="25"/>
        <v>0</v>
      </c>
      <c r="AE20" s="158">
        <f t="shared" si="26"/>
        <v>0</v>
      </c>
      <c r="AF20" s="64" t="str">
        <f t="shared" si="27"/>
        <v xml:space="preserve"> </v>
      </c>
      <c r="AG20" s="169">
        <f t="shared" si="28"/>
        <v>0</v>
      </c>
      <c r="AH20" s="169">
        <f t="shared" si="29"/>
        <v>0</v>
      </c>
      <c r="AI20" s="64" t="str">
        <f t="shared" si="30"/>
        <v xml:space="preserve"> </v>
      </c>
      <c r="AJ20" s="169" t="str">
        <f t="shared" si="31"/>
        <v/>
      </c>
      <c r="AK20" s="169" t="str">
        <f>IF(H20&lt;&gt;"",H20-AJ20,"")</f>
        <v/>
      </c>
      <c r="AL20" s="64" t="str">
        <f t="shared" si="33"/>
        <v xml:space="preserve"> </v>
      </c>
    </row>
    <row r="21" spans="1:38" ht="15.75" x14ac:dyDescent="0.25">
      <c r="A21" s="2">
        <f t="shared" si="24"/>
        <v>46306</v>
      </c>
      <c r="B21" s="2">
        <f t="shared" si="15"/>
        <v>84</v>
      </c>
      <c r="C21" s="54" t="str">
        <f t="shared" si="0"/>
        <v>11.10. niedziela</v>
      </c>
      <c r="D21" s="159" t="s">
        <v>47</v>
      </c>
      <c r="E21" s="117" t="str">
        <f t="shared" si="16"/>
        <v>wolne</v>
      </c>
      <c r="F21" s="115"/>
      <c r="G21" s="115"/>
      <c r="H21" s="55" t="str">
        <f t="shared" si="1"/>
        <v/>
      </c>
      <c r="I21" s="55" t="str">
        <f t="shared" si="2"/>
        <v/>
      </c>
      <c r="J21" s="56" t="str">
        <f t="shared" si="3"/>
        <v/>
      </c>
      <c r="K21" s="57">
        <f t="shared" si="34"/>
        <v>0</v>
      </c>
      <c r="L21" s="57">
        <f t="shared" si="17"/>
        <v>0</v>
      </c>
      <c r="M21" s="58" t="str">
        <f t="shared" si="4"/>
        <v>przerwa1</v>
      </c>
      <c r="N21" s="57">
        <f t="shared" si="18"/>
        <v>0</v>
      </c>
      <c r="O21" s="138"/>
      <c r="P21" s="149"/>
      <c r="Q21" s="138"/>
      <c r="R21" s="8"/>
      <c r="S21" s="60" t="str">
        <f t="shared" si="5"/>
        <v xml:space="preserve"> </v>
      </c>
      <c r="T21" s="60" t="str">
        <f t="shared" si="19"/>
        <v xml:space="preserve"> </v>
      </c>
      <c r="U21" s="60" t="str">
        <f t="shared" si="20"/>
        <v xml:space="preserve"> </v>
      </c>
      <c r="W21">
        <f t="shared" si="21"/>
        <v>0</v>
      </c>
      <c r="X21">
        <f t="shared" si="22"/>
        <v>0</v>
      </c>
      <c r="Y21">
        <f t="shared" si="23"/>
        <v>0</v>
      </c>
      <c r="AD21" s="158">
        <f t="shared" si="25"/>
        <v>0</v>
      </c>
      <c r="AE21" s="158">
        <f t="shared" si="26"/>
        <v>0</v>
      </c>
      <c r="AF21" s="64" t="str">
        <f t="shared" si="27"/>
        <v xml:space="preserve"> </v>
      </c>
      <c r="AG21" s="169">
        <f t="shared" si="28"/>
        <v>0</v>
      </c>
      <c r="AH21" s="169">
        <f t="shared" si="29"/>
        <v>0</v>
      </c>
      <c r="AI21" s="64" t="str">
        <f t="shared" si="30"/>
        <v xml:space="preserve"> </v>
      </c>
      <c r="AJ21" s="169" t="str">
        <f t="shared" si="31"/>
        <v/>
      </c>
      <c r="AK21" s="169" t="str">
        <f t="shared" si="32"/>
        <v/>
      </c>
      <c r="AL21" s="64" t="str">
        <f t="shared" si="33"/>
        <v xml:space="preserve"> </v>
      </c>
    </row>
    <row r="22" spans="1:38" ht="15.75" x14ac:dyDescent="0.25">
      <c r="A22" s="2">
        <f t="shared" si="24"/>
        <v>46307</v>
      </c>
      <c r="B22" s="2">
        <f t="shared" si="15"/>
        <v>84</v>
      </c>
      <c r="C22" s="54" t="str">
        <f t="shared" si="0"/>
        <v>12.10. poniedziałek</v>
      </c>
      <c r="D22" s="159"/>
      <c r="E22" s="117" t="str">
        <f t="shared" si="16"/>
        <v xml:space="preserve"> </v>
      </c>
      <c r="F22" s="115">
        <v>8</v>
      </c>
      <c r="G22" s="115">
        <v>16</v>
      </c>
      <c r="H22" s="55">
        <f t="shared" si="1"/>
        <v>8</v>
      </c>
      <c r="I22" s="55">
        <f t="shared" si="2"/>
        <v>0</v>
      </c>
      <c r="J22" s="56">
        <f t="shared" si="3"/>
        <v>0</v>
      </c>
      <c r="K22" s="57">
        <f t="shared" si="34"/>
        <v>1</v>
      </c>
      <c r="L22" s="57">
        <f t="shared" si="17"/>
        <v>0</v>
      </c>
      <c r="M22" s="58" t="str">
        <f t="shared" si="4"/>
        <v>przerwa1</v>
      </c>
      <c r="N22" s="57">
        <f t="shared" si="18"/>
        <v>1</v>
      </c>
      <c r="O22" s="138"/>
      <c r="P22" s="149"/>
      <c r="Q22" s="138"/>
      <c r="R22" s="8"/>
      <c r="S22" s="60">
        <f t="shared" si="5"/>
        <v>0</v>
      </c>
      <c r="T22" s="60" t="str">
        <f t="shared" si="19"/>
        <v xml:space="preserve"> </v>
      </c>
      <c r="U22" s="60" t="str">
        <f t="shared" si="20"/>
        <v xml:space="preserve"> </v>
      </c>
      <c r="W22">
        <f t="shared" si="21"/>
        <v>480</v>
      </c>
      <c r="X22">
        <f t="shared" si="22"/>
        <v>0</v>
      </c>
      <c r="Y22">
        <f t="shared" si="23"/>
        <v>480</v>
      </c>
      <c r="AD22" s="158">
        <f t="shared" si="25"/>
        <v>8</v>
      </c>
      <c r="AE22" s="158">
        <f t="shared" si="26"/>
        <v>0</v>
      </c>
      <c r="AF22" s="64">
        <f t="shared" si="27"/>
        <v>8</v>
      </c>
      <c r="AG22" s="169">
        <f t="shared" si="28"/>
        <v>16</v>
      </c>
      <c r="AH22" s="169">
        <f t="shared" si="29"/>
        <v>0</v>
      </c>
      <c r="AI22" s="64">
        <f t="shared" si="30"/>
        <v>16</v>
      </c>
      <c r="AJ22" s="169">
        <f t="shared" si="31"/>
        <v>8</v>
      </c>
      <c r="AK22" s="169">
        <f t="shared" si="32"/>
        <v>0</v>
      </c>
      <c r="AL22" s="64">
        <f t="shared" si="33"/>
        <v>8</v>
      </c>
    </row>
    <row r="23" spans="1:38" ht="15.75" x14ac:dyDescent="0.25">
      <c r="A23" s="2">
        <f t="shared" si="24"/>
        <v>46308</v>
      </c>
      <c r="B23" s="2">
        <f t="shared" si="15"/>
        <v>84</v>
      </c>
      <c r="C23" s="54" t="str">
        <f t="shared" si="0"/>
        <v>13.10. wtorek</v>
      </c>
      <c r="D23" s="159"/>
      <c r="E23" s="117" t="str">
        <f t="shared" si="16"/>
        <v xml:space="preserve"> </v>
      </c>
      <c r="F23" s="115">
        <v>8</v>
      </c>
      <c r="G23" s="115">
        <v>16</v>
      </c>
      <c r="H23" s="55">
        <f t="shared" si="1"/>
        <v>8</v>
      </c>
      <c r="I23" s="55">
        <f t="shared" si="2"/>
        <v>0</v>
      </c>
      <c r="J23" s="56">
        <f t="shared" si="3"/>
        <v>0</v>
      </c>
      <c r="K23" s="57">
        <f t="shared" si="34"/>
        <v>1</v>
      </c>
      <c r="L23" s="57">
        <f t="shared" si="17"/>
        <v>0</v>
      </c>
      <c r="M23" s="58" t="str">
        <f t="shared" si="4"/>
        <v>przerwa1</v>
      </c>
      <c r="N23" s="57">
        <f t="shared" si="18"/>
        <v>1</v>
      </c>
      <c r="O23" s="138"/>
      <c r="P23" s="149"/>
      <c r="R23" s="8"/>
      <c r="S23" s="60">
        <f t="shared" si="5"/>
        <v>0</v>
      </c>
      <c r="T23" s="60" t="str">
        <f t="shared" si="19"/>
        <v xml:space="preserve"> </v>
      </c>
      <c r="U23" s="60" t="str">
        <f t="shared" si="20"/>
        <v xml:space="preserve"> </v>
      </c>
      <c r="W23">
        <f t="shared" si="21"/>
        <v>480</v>
      </c>
      <c r="X23">
        <f t="shared" si="22"/>
        <v>0</v>
      </c>
      <c r="Y23">
        <f t="shared" si="23"/>
        <v>480</v>
      </c>
      <c r="AD23" s="158">
        <f t="shared" si="25"/>
        <v>8</v>
      </c>
      <c r="AE23" s="158">
        <f t="shared" si="26"/>
        <v>0</v>
      </c>
      <c r="AF23" s="64">
        <f t="shared" si="27"/>
        <v>8</v>
      </c>
      <c r="AG23" s="169">
        <f t="shared" si="28"/>
        <v>16</v>
      </c>
      <c r="AH23" s="169">
        <f t="shared" si="29"/>
        <v>0</v>
      </c>
      <c r="AI23" s="64">
        <f t="shared" si="30"/>
        <v>16</v>
      </c>
      <c r="AJ23" s="169">
        <f t="shared" si="31"/>
        <v>8</v>
      </c>
      <c r="AK23" s="169">
        <f t="shared" si="32"/>
        <v>0</v>
      </c>
      <c r="AL23" s="64">
        <f t="shared" si="33"/>
        <v>8</v>
      </c>
    </row>
    <row r="24" spans="1:38" ht="15.75" x14ac:dyDescent="0.25">
      <c r="A24" s="2">
        <f t="shared" si="24"/>
        <v>46309</v>
      </c>
      <c r="B24" s="2">
        <f t="shared" si="15"/>
        <v>84</v>
      </c>
      <c r="C24" s="54" t="str">
        <f t="shared" si="0"/>
        <v>14.10. środa</v>
      </c>
      <c r="D24" s="159"/>
      <c r="E24" s="117" t="str">
        <f t="shared" si="16"/>
        <v xml:space="preserve"> </v>
      </c>
      <c r="F24" s="115">
        <v>8</v>
      </c>
      <c r="G24" s="115">
        <v>16</v>
      </c>
      <c r="H24" s="55">
        <f t="shared" si="1"/>
        <v>8</v>
      </c>
      <c r="I24" s="55">
        <f t="shared" si="2"/>
        <v>0</v>
      </c>
      <c r="J24" s="56">
        <f t="shared" si="3"/>
        <v>0</v>
      </c>
      <c r="K24" s="57">
        <f t="shared" si="34"/>
        <v>1</v>
      </c>
      <c r="L24" s="57">
        <f t="shared" si="17"/>
        <v>0</v>
      </c>
      <c r="M24" s="58" t="str">
        <f t="shared" si="4"/>
        <v>przerwa1</v>
      </c>
      <c r="N24" s="57">
        <f t="shared" si="18"/>
        <v>1</v>
      </c>
      <c r="O24" s="138"/>
      <c r="P24" s="149"/>
      <c r="Q24" s="138"/>
      <c r="R24" s="8"/>
      <c r="S24" s="60">
        <f t="shared" si="5"/>
        <v>0</v>
      </c>
      <c r="T24" s="60" t="str">
        <f t="shared" si="19"/>
        <v xml:space="preserve"> </v>
      </c>
      <c r="U24" s="60" t="str">
        <f t="shared" si="20"/>
        <v xml:space="preserve"> </v>
      </c>
      <c r="W24">
        <f t="shared" si="21"/>
        <v>480</v>
      </c>
      <c r="X24">
        <f t="shared" si="22"/>
        <v>0</v>
      </c>
      <c r="Y24">
        <f t="shared" si="23"/>
        <v>480</v>
      </c>
      <c r="AD24" s="158">
        <f t="shared" si="25"/>
        <v>8</v>
      </c>
      <c r="AE24" s="158">
        <f t="shared" si="26"/>
        <v>0</v>
      </c>
      <c r="AF24" s="64">
        <f t="shared" si="27"/>
        <v>8</v>
      </c>
      <c r="AG24" s="169">
        <f t="shared" si="28"/>
        <v>16</v>
      </c>
      <c r="AH24" s="169">
        <f t="shared" si="29"/>
        <v>0</v>
      </c>
      <c r="AI24" s="64">
        <f t="shared" si="30"/>
        <v>16</v>
      </c>
      <c r="AJ24" s="169">
        <f t="shared" si="31"/>
        <v>8</v>
      </c>
      <c r="AK24" s="169">
        <f t="shared" si="32"/>
        <v>0</v>
      </c>
      <c r="AL24" s="64">
        <f t="shared" si="33"/>
        <v>8</v>
      </c>
    </row>
    <row r="25" spans="1:38" ht="15.75" x14ac:dyDescent="0.25">
      <c r="A25" s="2">
        <f t="shared" si="24"/>
        <v>46310</v>
      </c>
      <c r="B25" s="2">
        <f t="shared" si="15"/>
        <v>84</v>
      </c>
      <c r="C25" s="54" t="str">
        <f t="shared" si="0"/>
        <v>15.10. czwartek</v>
      </c>
      <c r="D25" s="159"/>
      <c r="E25" s="117" t="str">
        <f t="shared" si="16"/>
        <v xml:space="preserve"> </v>
      </c>
      <c r="F25" s="115">
        <v>8</v>
      </c>
      <c r="G25" s="115">
        <v>16</v>
      </c>
      <c r="H25" s="55">
        <f t="shared" si="1"/>
        <v>8</v>
      </c>
      <c r="I25" s="55">
        <f t="shared" si="2"/>
        <v>0</v>
      </c>
      <c r="J25" s="56">
        <f t="shared" si="3"/>
        <v>0</v>
      </c>
      <c r="K25" s="57">
        <f t="shared" si="34"/>
        <v>1</v>
      </c>
      <c r="L25" s="57">
        <f t="shared" si="17"/>
        <v>0</v>
      </c>
      <c r="M25" s="58" t="str">
        <f t="shared" si="4"/>
        <v>przerwa1</v>
      </c>
      <c r="N25" s="57">
        <f t="shared" si="18"/>
        <v>1</v>
      </c>
      <c r="O25" s="138"/>
      <c r="P25" s="149"/>
      <c r="Q25" s="138"/>
      <c r="R25" s="8"/>
      <c r="S25" s="60">
        <f t="shared" si="5"/>
        <v>0</v>
      </c>
      <c r="T25" s="60" t="str">
        <f t="shared" si="19"/>
        <v xml:space="preserve"> </v>
      </c>
      <c r="U25" s="60" t="str">
        <f t="shared" si="20"/>
        <v xml:space="preserve"> </v>
      </c>
      <c r="W25">
        <f t="shared" si="21"/>
        <v>480</v>
      </c>
      <c r="X25">
        <f t="shared" si="22"/>
        <v>0</v>
      </c>
      <c r="Y25">
        <f t="shared" si="23"/>
        <v>480</v>
      </c>
      <c r="AD25" s="158">
        <f t="shared" si="25"/>
        <v>8</v>
      </c>
      <c r="AE25" s="158">
        <f t="shared" si="26"/>
        <v>0</v>
      </c>
      <c r="AF25" s="64">
        <f t="shared" si="27"/>
        <v>8</v>
      </c>
      <c r="AG25" s="169">
        <f t="shared" si="28"/>
        <v>16</v>
      </c>
      <c r="AH25" s="169">
        <f t="shared" si="29"/>
        <v>0</v>
      </c>
      <c r="AI25" s="64">
        <f t="shared" si="30"/>
        <v>16</v>
      </c>
      <c r="AJ25" s="169">
        <f t="shared" si="31"/>
        <v>8</v>
      </c>
      <c r="AK25" s="169">
        <f t="shared" si="32"/>
        <v>0</v>
      </c>
      <c r="AL25" s="64">
        <f t="shared" si="33"/>
        <v>8</v>
      </c>
    </row>
    <row r="26" spans="1:38" ht="15.75" x14ac:dyDescent="0.25">
      <c r="A26" s="2">
        <f t="shared" si="24"/>
        <v>46311</v>
      </c>
      <c r="B26" s="2">
        <f t="shared" si="15"/>
        <v>84</v>
      </c>
      <c r="C26" s="54" t="str">
        <f t="shared" si="0"/>
        <v>16.10. piątek</v>
      </c>
      <c r="D26" s="159"/>
      <c r="E26" s="117" t="str">
        <f t="shared" si="16"/>
        <v xml:space="preserve"> </v>
      </c>
      <c r="F26" s="115">
        <v>8</v>
      </c>
      <c r="G26" s="115">
        <v>16</v>
      </c>
      <c r="H26" s="55">
        <f t="shared" si="1"/>
        <v>8</v>
      </c>
      <c r="I26" s="55">
        <f t="shared" si="2"/>
        <v>0</v>
      </c>
      <c r="J26" s="56">
        <f t="shared" si="3"/>
        <v>0</v>
      </c>
      <c r="K26" s="57">
        <f t="shared" si="34"/>
        <v>1</v>
      </c>
      <c r="L26" s="57">
        <f t="shared" si="17"/>
        <v>0</v>
      </c>
      <c r="M26" s="58" t="str">
        <f t="shared" si="4"/>
        <v>przerwa1</v>
      </c>
      <c r="N26" s="57">
        <f t="shared" si="18"/>
        <v>1</v>
      </c>
      <c r="O26" s="138"/>
      <c r="P26" s="149"/>
      <c r="Q26" s="138"/>
      <c r="R26" s="8"/>
      <c r="S26" s="60">
        <f t="shared" si="5"/>
        <v>0</v>
      </c>
      <c r="T26" s="60" t="str">
        <f t="shared" si="19"/>
        <v xml:space="preserve"> </v>
      </c>
      <c r="U26" s="60" t="str">
        <f t="shared" si="20"/>
        <v xml:space="preserve"> </v>
      </c>
      <c r="W26">
        <f t="shared" si="21"/>
        <v>480</v>
      </c>
      <c r="X26">
        <f t="shared" si="22"/>
        <v>0</v>
      </c>
      <c r="Y26">
        <f t="shared" si="23"/>
        <v>480</v>
      </c>
      <c r="AD26" s="158">
        <f t="shared" si="25"/>
        <v>8</v>
      </c>
      <c r="AE26" s="158">
        <f t="shared" si="26"/>
        <v>0</v>
      </c>
      <c r="AF26" s="64">
        <f t="shared" si="27"/>
        <v>8</v>
      </c>
      <c r="AG26" s="169">
        <f t="shared" si="28"/>
        <v>16</v>
      </c>
      <c r="AH26" s="169">
        <f t="shared" si="29"/>
        <v>0</v>
      </c>
      <c r="AI26" s="64">
        <f t="shared" si="30"/>
        <v>16</v>
      </c>
      <c r="AJ26" s="169">
        <f t="shared" si="31"/>
        <v>8</v>
      </c>
      <c r="AK26" s="169">
        <f t="shared" si="32"/>
        <v>0</v>
      </c>
      <c r="AL26" s="64">
        <f t="shared" si="33"/>
        <v>8</v>
      </c>
    </row>
    <row r="27" spans="1:38" ht="15.75" x14ac:dyDescent="0.25">
      <c r="A27" s="2">
        <f t="shared" si="24"/>
        <v>46312</v>
      </c>
      <c r="B27" s="2">
        <f t="shared" si="15"/>
        <v>84</v>
      </c>
      <c r="C27" s="54" t="str">
        <f t="shared" si="0"/>
        <v>17.10. sobota</v>
      </c>
      <c r="D27" s="159" t="s">
        <v>47</v>
      </c>
      <c r="E27" s="117" t="str">
        <f t="shared" si="16"/>
        <v>wolne</v>
      </c>
      <c r="F27" s="115"/>
      <c r="G27" s="115"/>
      <c r="H27" s="55" t="str">
        <f t="shared" si="1"/>
        <v/>
      </c>
      <c r="I27" s="55" t="str">
        <f t="shared" si="2"/>
        <v/>
      </c>
      <c r="J27" s="56" t="str">
        <f t="shared" si="3"/>
        <v/>
      </c>
      <c r="K27" s="57">
        <f t="shared" si="34"/>
        <v>0</v>
      </c>
      <c r="L27" s="57">
        <f t="shared" si="17"/>
        <v>0</v>
      </c>
      <c r="M27" s="58" t="str">
        <f t="shared" si="4"/>
        <v>przerwa1</v>
      </c>
      <c r="N27" s="57">
        <f t="shared" si="18"/>
        <v>0</v>
      </c>
      <c r="O27" s="138"/>
      <c r="P27" s="149"/>
      <c r="Q27" s="138"/>
      <c r="R27" s="8"/>
      <c r="S27" s="60" t="str">
        <f t="shared" si="5"/>
        <v xml:space="preserve"> </v>
      </c>
      <c r="T27" s="60" t="str">
        <f t="shared" si="19"/>
        <v xml:space="preserve"> </v>
      </c>
      <c r="U27" s="60" t="str">
        <f t="shared" si="20"/>
        <v xml:space="preserve"> </v>
      </c>
      <c r="W27">
        <f t="shared" si="21"/>
        <v>0</v>
      </c>
      <c r="X27">
        <f t="shared" si="22"/>
        <v>0</v>
      </c>
      <c r="Y27">
        <f t="shared" si="23"/>
        <v>0</v>
      </c>
      <c r="AD27" s="158">
        <f t="shared" si="25"/>
        <v>0</v>
      </c>
      <c r="AE27" s="158">
        <f t="shared" si="26"/>
        <v>0</v>
      </c>
      <c r="AF27" s="64" t="str">
        <f t="shared" si="27"/>
        <v xml:space="preserve"> </v>
      </c>
      <c r="AG27" s="169">
        <f t="shared" si="28"/>
        <v>0</v>
      </c>
      <c r="AH27" s="169">
        <f t="shared" si="29"/>
        <v>0</v>
      </c>
      <c r="AI27" s="64" t="str">
        <f t="shared" si="30"/>
        <v xml:space="preserve"> </v>
      </c>
      <c r="AJ27" s="169" t="str">
        <f t="shared" si="31"/>
        <v/>
      </c>
      <c r="AK27" s="169" t="str">
        <f t="shared" si="32"/>
        <v/>
      </c>
      <c r="AL27" s="64" t="str">
        <f t="shared" si="33"/>
        <v xml:space="preserve"> </v>
      </c>
    </row>
    <row r="28" spans="1:38" ht="15.75" x14ac:dyDescent="0.25">
      <c r="A28" s="2">
        <f t="shared" si="24"/>
        <v>46313</v>
      </c>
      <c r="B28" s="2">
        <f t="shared" si="15"/>
        <v>84</v>
      </c>
      <c r="C28" s="54" t="str">
        <f t="shared" si="0"/>
        <v>18.10. niedziela</v>
      </c>
      <c r="D28" s="159" t="s">
        <v>47</v>
      </c>
      <c r="E28" s="117" t="str">
        <f t="shared" si="16"/>
        <v>wolne</v>
      </c>
      <c r="F28" s="115"/>
      <c r="G28" s="115"/>
      <c r="H28" s="55" t="str">
        <f t="shared" si="1"/>
        <v/>
      </c>
      <c r="I28" s="55" t="str">
        <f t="shared" si="2"/>
        <v/>
      </c>
      <c r="J28" s="56" t="str">
        <f t="shared" si="3"/>
        <v/>
      </c>
      <c r="K28" s="57">
        <f t="shared" si="34"/>
        <v>0</v>
      </c>
      <c r="L28" s="57">
        <f t="shared" si="17"/>
        <v>0</v>
      </c>
      <c r="M28" s="58" t="str">
        <f t="shared" si="4"/>
        <v>przerwa1</v>
      </c>
      <c r="N28" s="57">
        <f t="shared" si="18"/>
        <v>0</v>
      </c>
      <c r="O28" s="138"/>
      <c r="P28" s="149"/>
      <c r="Q28" s="138"/>
      <c r="R28" s="8"/>
      <c r="S28" s="60" t="str">
        <f t="shared" si="5"/>
        <v xml:space="preserve"> </v>
      </c>
      <c r="T28" s="60" t="str">
        <f t="shared" si="19"/>
        <v xml:space="preserve"> </v>
      </c>
      <c r="U28" s="60" t="str">
        <f t="shared" si="20"/>
        <v xml:space="preserve"> </v>
      </c>
      <c r="W28">
        <f t="shared" si="21"/>
        <v>0</v>
      </c>
      <c r="X28">
        <f t="shared" si="22"/>
        <v>0</v>
      </c>
      <c r="Y28">
        <f t="shared" si="23"/>
        <v>0</v>
      </c>
      <c r="AD28" s="158">
        <f t="shared" si="25"/>
        <v>0</v>
      </c>
      <c r="AE28" s="158">
        <f t="shared" si="26"/>
        <v>0</v>
      </c>
      <c r="AF28" s="64" t="str">
        <f t="shared" si="27"/>
        <v xml:space="preserve"> </v>
      </c>
      <c r="AG28" s="169">
        <f t="shared" si="28"/>
        <v>0</v>
      </c>
      <c r="AH28" s="169">
        <f t="shared" si="29"/>
        <v>0</v>
      </c>
      <c r="AI28" s="64" t="str">
        <f t="shared" si="30"/>
        <v xml:space="preserve"> </v>
      </c>
      <c r="AJ28" s="169" t="str">
        <f t="shared" si="31"/>
        <v/>
      </c>
      <c r="AK28" s="169" t="str">
        <f t="shared" si="32"/>
        <v/>
      </c>
      <c r="AL28" s="64" t="str">
        <f t="shared" si="33"/>
        <v xml:space="preserve"> </v>
      </c>
    </row>
    <row r="29" spans="1:38" ht="15.75" x14ac:dyDescent="0.25">
      <c r="A29" s="2">
        <f t="shared" si="24"/>
        <v>46314</v>
      </c>
      <c r="B29" s="2">
        <f t="shared" si="15"/>
        <v>84</v>
      </c>
      <c r="C29" s="54" t="str">
        <f t="shared" si="0"/>
        <v>19.10. poniedziałek</v>
      </c>
      <c r="D29" s="159"/>
      <c r="E29" s="117" t="str">
        <f t="shared" si="16"/>
        <v xml:space="preserve"> </v>
      </c>
      <c r="F29" s="115">
        <v>8</v>
      </c>
      <c r="G29" s="115">
        <v>16</v>
      </c>
      <c r="H29" s="55">
        <f t="shared" si="1"/>
        <v>8</v>
      </c>
      <c r="I29" s="55">
        <f t="shared" si="2"/>
        <v>0</v>
      </c>
      <c r="J29" s="56">
        <f t="shared" si="3"/>
        <v>0</v>
      </c>
      <c r="K29" s="57">
        <f t="shared" si="34"/>
        <v>1</v>
      </c>
      <c r="L29" s="57">
        <f t="shared" si="17"/>
        <v>0</v>
      </c>
      <c r="M29" s="58" t="str">
        <f t="shared" si="4"/>
        <v>przerwa1</v>
      </c>
      <c r="N29" s="57">
        <f t="shared" si="18"/>
        <v>1</v>
      </c>
      <c r="O29" s="138"/>
      <c r="P29" s="149"/>
      <c r="Q29" s="138"/>
      <c r="R29" s="8"/>
      <c r="S29" s="60">
        <f t="shared" si="5"/>
        <v>0</v>
      </c>
      <c r="T29" s="60" t="str">
        <f t="shared" si="19"/>
        <v xml:space="preserve"> </v>
      </c>
      <c r="U29" s="60" t="str">
        <f t="shared" si="20"/>
        <v xml:space="preserve"> </v>
      </c>
      <c r="W29">
        <f t="shared" si="21"/>
        <v>480</v>
      </c>
      <c r="X29">
        <f t="shared" si="22"/>
        <v>0</v>
      </c>
      <c r="Y29">
        <f t="shared" si="23"/>
        <v>480</v>
      </c>
      <c r="AD29" s="158">
        <f t="shared" si="25"/>
        <v>8</v>
      </c>
      <c r="AE29" s="158">
        <f t="shared" si="26"/>
        <v>0</v>
      </c>
      <c r="AF29" s="64">
        <f t="shared" si="27"/>
        <v>8</v>
      </c>
      <c r="AG29" s="169">
        <f t="shared" si="28"/>
        <v>16</v>
      </c>
      <c r="AH29" s="169">
        <f t="shared" si="29"/>
        <v>0</v>
      </c>
      <c r="AI29" s="64">
        <f t="shared" si="30"/>
        <v>16</v>
      </c>
      <c r="AJ29" s="169">
        <f t="shared" si="31"/>
        <v>8</v>
      </c>
      <c r="AK29" s="169">
        <f t="shared" si="32"/>
        <v>0</v>
      </c>
      <c r="AL29" s="64">
        <f t="shared" si="33"/>
        <v>8</v>
      </c>
    </row>
    <row r="30" spans="1:38" ht="15.75" x14ac:dyDescent="0.25">
      <c r="A30" s="2">
        <f t="shared" si="24"/>
        <v>46315</v>
      </c>
      <c r="B30" s="2">
        <f t="shared" si="15"/>
        <v>84</v>
      </c>
      <c r="C30" s="54" t="str">
        <f t="shared" si="0"/>
        <v>20.10. wtorek</v>
      </c>
      <c r="D30" s="159"/>
      <c r="E30" s="117" t="str">
        <f t="shared" si="16"/>
        <v xml:space="preserve"> </v>
      </c>
      <c r="F30" s="115">
        <v>8</v>
      </c>
      <c r="G30" s="115">
        <v>16</v>
      </c>
      <c r="H30" s="55">
        <f t="shared" si="1"/>
        <v>8</v>
      </c>
      <c r="I30" s="55">
        <f t="shared" si="2"/>
        <v>0</v>
      </c>
      <c r="J30" s="56">
        <f t="shared" si="3"/>
        <v>0</v>
      </c>
      <c r="K30" s="57">
        <f t="shared" si="34"/>
        <v>1</v>
      </c>
      <c r="L30" s="57">
        <f t="shared" si="17"/>
        <v>0</v>
      </c>
      <c r="M30" s="58" t="str">
        <f t="shared" si="4"/>
        <v>przerwa1</v>
      </c>
      <c r="N30" s="57">
        <f t="shared" si="18"/>
        <v>1</v>
      </c>
      <c r="O30" s="138"/>
      <c r="P30" s="149"/>
      <c r="Q30" s="138"/>
      <c r="R30" s="8"/>
      <c r="S30" s="60">
        <f t="shared" si="5"/>
        <v>0</v>
      </c>
      <c r="T30" s="60" t="str">
        <f t="shared" si="19"/>
        <v xml:space="preserve"> </v>
      </c>
      <c r="U30" s="60" t="str">
        <f t="shared" si="20"/>
        <v xml:space="preserve"> </v>
      </c>
      <c r="W30">
        <f t="shared" si="21"/>
        <v>480</v>
      </c>
      <c r="X30">
        <f t="shared" si="22"/>
        <v>0</v>
      </c>
      <c r="Y30">
        <f t="shared" si="23"/>
        <v>480</v>
      </c>
      <c r="AD30" s="158">
        <f t="shared" si="25"/>
        <v>8</v>
      </c>
      <c r="AE30" s="158">
        <f t="shared" si="26"/>
        <v>0</v>
      </c>
      <c r="AF30" s="64">
        <f t="shared" si="27"/>
        <v>8</v>
      </c>
      <c r="AG30" s="169">
        <f t="shared" si="28"/>
        <v>16</v>
      </c>
      <c r="AH30" s="169">
        <f t="shared" si="29"/>
        <v>0</v>
      </c>
      <c r="AI30" s="64">
        <f t="shared" si="30"/>
        <v>16</v>
      </c>
      <c r="AJ30" s="169">
        <f t="shared" si="31"/>
        <v>8</v>
      </c>
      <c r="AK30" s="169">
        <f t="shared" si="32"/>
        <v>0</v>
      </c>
      <c r="AL30" s="64">
        <f t="shared" si="33"/>
        <v>8</v>
      </c>
    </row>
    <row r="31" spans="1:38" ht="15.75" x14ac:dyDescent="0.25">
      <c r="A31" s="2">
        <f t="shared" si="24"/>
        <v>46316</v>
      </c>
      <c r="B31" s="2">
        <f t="shared" si="15"/>
        <v>84</v>
      </c>
      <c r="C31" s="54" t="str">
        <f t="shared" si="0"/>
        <v>21.10. środa</v>
      </c>
      <c r="D31" s="159"/>
      <c r="E31" s="117" t="str">
        <f t="shared" si="16"/>
        <v xml:space="preserve"> </v>
      </c>
      <c r="F31" s="115">
        <v>8</v>
      </c>
      <c r="G31" s="115">
        <v>16</v>
      </c>
      <c r="H31" s="55">
        <f t="shared" si="1"/>
        <v>8</v>
      </c>
      <c r="I31" s="55">
        <f t="shared" si="2"/>
        <v>0</v>
      </c>
      <c r="J31" s="56">
        <f t="shared" si="3"/>
        <v>0</v>
      </c>
      <c r="K31" s="57">
        <f t="shared" si="34"/>
        <v>1</v>
      </c>
      <c r="L31" s="57">
        <f t="shared" si="17"/>
        <v>0</v>
      </c>
      <c r="M31" s="58" t="str">
        <f t="shared" si="4"/>
        <v>przerwa1</v>
      </c>
      <c r="N31" s="57">
        <f t="shared" si="18"/>
        <v>1</v>
      </c>
      <c r="O31" s="138"/>
      <c r="P31" s="149"/>
      <c r="Q31" s="138"/>
      <c r="R31" s="8"/>
      <c r="S31" s="60">
        <f t="shared" si="5"/>
        <v>0</v>
      </c>
      <c r="T31" s="60" t="str">
        <f t="shared" si="19"/>
        <v xml:space="preserve"> </v>
      </c>
      <c r="U31" s="60" t="str">
        <f t="shared" si="20"/>
        <v xml:space="preserve"> </v>
      </c>
      <c r="W31">
        <f t="shared" si="21"/>
        <v>480</v>
      </c>
      <c r="X31">
        <f t="shared" si="22"/>
        <v>0</v>
      </c>
      <c r="Y31">
        <f t="shared" si="23"/>
        <v>480</v>
      </c>
      <c r="AD31" s="158">
        <f t="shared" si="25"/>
        <v>8</v>
      </c>
      <c r="AE31" s="158">
        <f t="shared" si="26"/>
        <v>0</v>
      </c>
      <c r="AF31" s="64">
        <f t="shared" si="27"/>
        <v>8</v>
      </c>
      <c r="AG31" s="169">
        <f t="shared" si="28"/>
        <v>16</v>
      </c>
      <c r="AH31" s="169">
        <f t="shared" si="29"/>
        <v>0</v>
      </c>
      <c r="AI31" s="64">
        <f t="shared" si="30"/>
        <v>16</v>
      </c>
      <c r="AJ31" s="169">
        <f t="shared" si="31"/>
        <v>8</v>
      </c>
      <c r="AK31" s="169">
        <f t="shared" si="32"/>
        <v>0</v>
      </c>
      <c r="AL31" s="64">
        <f t="shared" si="33"/>
        <v>8</v>
      </c>
    </row>
    <row r="32" spans="1:38" ht="15.75" x14ac:dyDescent="0.25">
      <c r="A32" s="2">
        <f t="shared" si="24"/>
        <v>46317</v>
      </c>
      <c r="B32" s="2">
        <f t="shared" si="15"/>
        <v>84</v>
      </c>
      <c r="C32" s="54" t="str">
        <f t="shared" si="0"/>
        <v>22.10. czwartek</v>
      </c>
      <c r="D32" s="159"/>
      <c r="E32" s="117" t="str">
        <f t="shared" si="16"/>
        <v xml:space="preserve"> </v>
      </c>
      <c r="F32" s="115">
        <v>8</v>
      </c>
      <c r="G32" s="115">
        <v>16</v>
      </c>
      <c r="H32" s="55">
        <f t="shared" si="1"/>
        <v>8</v>
      </c>
      <c r="I32" s="55">
        <f t="shared" si="2"/>
        <v>0</v>
      </c>
      <c r="J32" s="56">
        <f t="shared" si="3"/>
        <v>0</v>
      </c>
      <c r="K32" s="57">
        <f t="shared" si="34"/>
        <v>1</v>
      </c>
      <c r="L32" s="57">
        <f t="shared" si="17"/>
        <v>0</v>
      </c>
      <c r="M32" s="58" t="str">
        <f t="shared" si="4"/>
        <v>przerwa1</v>
      </c>
      <c r="N32" s="57">
        <f t="shared" si="18"/>
        <v>1</v>
      </c>
      <c r="O32" s="138"/>
      <c r="P32" s="149"/>
      <c r="Q32" s="138"/>
      <c r="R32" s="8"/>
      <c r="S32" s="60">
        <f t="shared" si="5"/>
        <v>0</v>
      </c>
      <c r="T32" s="60" t="str">
        <f t="shared" si="19"/>
        <v xml:space="preserve"> </v>
      </c>
      <c r="U32" s="60" t="str">
        <f t="shared" si="20"/>
        <v xml:space="preserve"> </v>
      </c>
      <c r="W32">
        <f t="shared" si="21"/>
        <v>480</v>
      </c>
      <c r="X32">
        <f t="shared" si="22"/>
        <v>0</v>
      </c>
      <c r="Y32">
        <f t="shared" si="23"/>
        <v>480</v>
      </c>
      <c r="AD32" s="158">
        <f t="shared" si="25"/>
        <v>8</v>
      </c>
      <c r="AE32" s="158">
        <f t="shared" si="26"/>
        <v>0</v>
      </c>
      <c r="AF32" s="64">
        <f t="shared" si="27"/>
        <v>8</v>
      </c>
      <c r="AG32" s="169">
        <f t="shared" si="28"/>
        <v>16</v>
      </c>
      <c r="AH32" s="169">
        <f t="shared" si="29"/>
        <v>0</v>
      </c>
      <c r="AI32" s="64">
        <f t="shared" si="30"/>
        <v>16</v>
      </c>
      <c r="AJ32" s="169">
        <f t="shared" si="31"/>
        <v>8</v>
      </c>
      <c r="AK32" s="169">
        <f t="shared" si="32"/>
        <v>0</v>
      </c>
      <c r="AL32" s="64">
        <f t="shared" si="33"/>
        <v>8</v>
      </c>
    </row>
    <row r="33" spans="1:38" ht="15.75" x14ac:dyDescent="0.25">
      <c r="A33" s="2">
        <f t="shared" si="24"/>
        <v>46318</v>
      </c>
      <c r="B33" s="2">
        <f t="shared" si="15"/>
        <v>84</v>
      </c>
      <c r="C33" s="54" t="str">
        <f t="shared" si="0"/>
        <v>23.10. piątek</v>
      </c>
      <c r="D33" s="159"/>
      <c r="E33" s="117" t="str">
        <f t="shared" si="16"/>
        <v xml:space="preserve"> </v>
      </c>
      <c r="F33" s="115">
        <v>8</v>
      </c>
      <c r="G33" s="115">
        <v>16</v>
      </c>
      <c r="H33" s="55">
        <f t="shared" si="1"/>
        <v>8</v>
      </c>
      <c r="I33" s="55">
        <f t="shared" si="2"/>
        <v>0</v>
      </c>
      <c r="J33" s="56">
        <f t="shared" si="3"/>
        <v>0</v>
      </c>
      <c r="K33" s="57">
        <f t="shared" si="34"/>
        <v>1</v>
      </c>
      <c r="L33" s="57">
        <f t="shared" si="17"/>
        <v>0</v>
      </c>
      <c r="M33" s="58" t="str">
        <f t="shared" si="4"/>
        <v>przerwa1</v>
      </c>
      <c r="N33" s="57">
        <f t="shared" si="18"/>
        <v>1</v>
      </c>
      <c r="O33" s="138"/>
      <c r="P33" s="149"/>
      <c r="Q33" s="138"/>
      <c r="R33" s="8"/>
      <c r="S33" s="60">
        <f t="shared" si="5"/>
        <v>0</v>
      </c>
      <c r="T33" s="60" t="str">
        <f t="shared" si="19"/>
        <v xml:space="preserve"> </v>
      </c>
      <c r="U33" s="60" t="str">
        <f t="shared" si="20"/>
        <v xml:space="preserve"> </v>
      </c>
      <c r="W33">
        <f t="shared" si="21"/>
        <v>480</v>
      </c>
      <c r="X33">
        <f t="shared" si="22"/>
        <v>0</v>
      </c>
      <c r="Y33">
        <f t="shared" si="23"/>
        <v>480</v>
      </c>
      <c r="AD33" s="158">
        <f t="shared" si="25"/>
        <v>8</v>
      </c>
      <c r="AE33" s="158">
        <f t="shared" si="26"/>
        <v>0</v>
      </c>
      <c r="AF33" s="64">
        <f t="shared" si="27"/>
        <v>8</v>
      </c>
      <c r="AG33" s="169">
        <f t="shared" si="28"/>
        <v>16</v>
      </c>
      <c r="AH33" s="169">
        <f t="shared" si="29"/>
        <v>0</v>
      </c>
      <c r="AI33" s="64">
        <f t="shared" si="30"/>
        <v>16</v>
      </c>
      <c r="AJ33" s="169">
        <f t="shared" si="31"/>
        <v>8</v>
      </c>
      <c r="AK33" s="169">
        <f t="shared" si="32"/>
        <v>0</v>
      </c>
      <c r="AL33" s="64">
        <f t="shared" si="33"/>
        <v>8</v>
      </c>
    </row>
    <row r="34" spans="1:38" ht="15.75" x14ac:dyDescent="0.25">
      <c r="A34" s="2">
        <f t="shared" si="24"/>
        <v>46319</v>
      </c>
      <c r="B34" s="2">
        <f t="shared" si="15"/>
        <v>84</v>
      </c>
      <c r="C34" s="54" t="str">
        <f t="shared" si="0"/>
        <v>24.10. sobota</v>
      </c>
      <c r="D34" s="159" t="s">
        <v>47</v>
      </c>
      <c r="E34" s="117" t="str">
        <f t="shared" si="16"/>
        <v>wolne</v>
      </c>
      <c r="F34" s="115"/>
      <c r="G34" s="115"/>
      <c r="H34" s="55" t="str">
        <f t="shared" si="1"/>
        <v/>
      </c>
      <c r="I34" s="55" t="str">
        <f t="shared" si="2"/>
        <v/>
      </c>
      <c r="J34" s="56" t="str">
        <f t="shared" si="3"/>
        <v/>
      </c>
      <c r="K34" s="57">
        <f t="shared" si="34"/>
        <v>0</v>
      </c>
      <c r="L34" s="57">
        <f t="shared" si="17"/>
        <v>0</v>
      </c>
      <c r="M34" s="58" t="str">
        <f t="shared" si="4"/>
        <v>przerwa1</v>
      </c>
      <c r="N34" s="57">
        <f t="shared" si="18"/>
        <v>0</v>
      </c>
      <c r="O34" s="138"/>
      <c r="P34" s="149"/>
      <c r="Q34" s="138"/>
      <c r="R34" s="8"/>
      <c r="S34" s="60" t="str">
        <f t="shared" si="5"/>
        <v xml:space="preserve"> </v>
      </c>
      <c r="T34" s="60" t="str">
        <f t="shared" si="19"/>
        <v xml:space="preserve"> </v>
      </c>
      <c r="U34" s="60" t="str">
        <f t="shared" si="20"/>
        <v xml:space="preserve"> </v>
      </c>
      <c r="W34">
        <f t="shared" si="21"/>
        <v>0</v>
      </c>
      <c r="X34">
        <f t="shared" si="22"/>
        <v>0</v>
      </c>
      <c r="Y34">
        <f t="shared" si="23"/>
        <v>0</v>
      </c>
      <c r="AD34" s="158">
        <f t="shared" si="25"/>
        <v>0</v>
      </c>
      <c r="AE34" s="158">
        <f t="shared" si="26"/>
        <v>0</v>
      </c>
      <c r="AF34" s="64" t="str">
        <f t="shared" si="27"/>
        <v xml:space="preserve"> </v>
      </c>
      <c r="AG34" s="169">
        <f t="shared" si="28"/>
        <v>0</v>
      </c>
      <c r="AH34" s="169">
        <f t="shared" si="29"/>
        <v>0</v>
      </c>
      <c r="AI34" s="64" t="str">
        <f t="shared" si="30"/>
        <v xml:space="preserve"> </v>
      </c>
      <c r="AJ34" s="169" t="str">
        <f t="shared" si="31"/>
        <v/>
      </c>
      <c r="AK34" s="169" t="str">
        <f t="shared" si="32"/>
        <v/>
      </c>
      <c r="AL34" s="64" t="str">
        <f t="shared" si="33"/>
        <v xml:space="preserve"> </v>
      </c>
    </row>
    <row r="35" spans="1:38" ht="15.75" x14ac:dyDescent="0.25">
      <c r="A35" s="2">
        <f t="shared" si="24"/>
        <v>46320</v>
      </c>
      <c r="B35" s="2">
        <f t="shared" si="15"/>
        <v>84</v>
      </c>
      <c r="C35" s="54" t="str">
        <f t="shared" si="0"/>
        <v>25.10. niedziela</v>
      </c>
      <c r="D35" s="159" t="s">
        <v>47</v>
      </c>
      <c r="E35" s="117" t="str">
        <f t="shared" si="16"/>
        <v>wolne</v>
      </c>
      <c r="F35" s="115"/>
      <c r="G35" s="115"/>
      <c r="H35" s="55" t="str">
        <f t="shared" si="1"/>
        <v/>
      </c>
      <c r="I35" s="55" t="str">
        <f t="shared" si="2"/>
        <v/>
      </c>
      <c r="J35" s="56" t="str">
        <f t="shared" si="3"/>
        <v/>
      </c>
      <c r="K35" s="57">
        <f t="shared" si="34"/>
        <v>0</v>
      </c>
      <c r="L35" s="57">
        <f t="shared" si="17"/>
        <v>0</v>
      </c>
      <c r="M35" s="58" t="str">
        <f t="shared" si="4"/>
        <v>przerwa1</v>
      </c>
      <c r="N35" s="57">
        <f t="shared" si="18"/>
        <v>0</v>
      </c>
      <c r="O35" s="138"/>
      <c r="P35" s="149"/>
      <c r="Q35" s="138"/>
      <c r="R35" s="8"/>
      <c r="S35" s="60" t="str">
        <f t="shared" si="5"/>
        <v xml:space="preserve"> </v>
      </c>
      <c r="T35" s="60" t="str">
        <f t="shared" si="19"/>
        <v xml:space="preserve"> </v>
      </c>
      <c r="U35" s="60" t="str">
        <f t="shared" si="20"/>
        <v xml:space="preserve"> </v>
      </c>
      <c r="W35">
        <f t="shared" si="21"/>
        <v>0</v>
      </c>
      <c r="X35">
        <f t="shared" si="22"/>
        <v>0</v>
      </c>
      <c r="Y35">
        <f t="shared" si="23"/>
        <v>0</v>
      </c>
      <c r="AD35" s="158">
        <f t="shared" si="25"/>
        <v>0</v>
      </c>
      <c r="AE35" s="158">
        <f t="shared" si="26"/>
        <v>0</v>
      </c>
      <c r="AF35" s="64" t="str">
        <f t="shared" si="27"/>
        <v xml:space="preserve"> </v>
      </c>
      <c r="AG35" s="169">
        <f t="shared" si="28"/>
        <v>0</v>
      </c>
      <c r="AH35" s="169">
        <f t="shared" si="29"/>
        <v>0</v>
      </c>
      <c r="AI35" s="64" t="str">
        <f t="shared" si="30"/>
        <v xml:space="preserve"> </v>
      </c>
      <c r="AJ35" s="169" t="str">
        <f t="shared" si="31"/>
        <v/>
      </c>
      <c r="AK35" s="169" t="str">
        <f t="shared" si="32"/>
        <v/>
      </c>
      <c r="AL35" s="64" t="str">
        <f t="shared" si="33"/>
        <v xml:space="preserve"> </v>
      </c>
    </row>
    <row r="36" spans="1:38" ht="15.75" x14ac:dyDescent="0.25">
      <c r="A36" s="2">
        <f t="shared" si="24"/>
        <v>46321</v>
      </c>
      <c r="B36" s="2">
        <f t="shared" si="15"/>
        <v>84</v>
      </c>
      <c r="C36" s="54" t="str">
        <f t="shared" si="0"/>
        <v>26.10. poniedziałek</v>
      </c>
      <c r="D36" s="159"/>
      <c r="E36" s="117" t="str">
        <f t="shared" si="16"/>
        <v xml:space="preserve"> </v>
      </c>
      <c r="F36" s="115">
        <v>8</v>
      </c>
      <c r="G36" s="115">
        <v>16</v>
      </c>
      <c r="H36" s="55">
        <f>IF(D36="d",(((((TRUNC(G36)-1)-TRUNC(F36))*60)+((G36-TRUNC(G36))*100)+(60-(F36-TRUNC(F36))*100))-(IF(M36&lt;przerwa1,pause,przerwa1)))/60,IF((OR((B36=83),(D36="u"),(D36="uz"),(D36="a"),(D36="c"),(D36="s"),(AND(D36="w",F36="")),(D36="oc"),(D36="um"),(D36="op"),(D36="oc"))),"",IF(OR(D36="g",AND(D36="gp",F36="")),0,TRUNC((((TRUNC(G36)*60+(G36-(TRUNC(G36)))*100)-(TRUNC(F36)*60+(F36-TRUNC(F36))*100))-(IF(M36&lt;przerwa1,pause,przerwa1)))/60)+(((((TRUNC(G36)*60+(G36-(TRUNC(G36)))*100)-(TRUNC(F36)*60+(F36-TRUNC(F36))*100))-(IF(M36&lt;przerwa1,pause,przerwa1)))/60)-TRUNC(((((TRUNC(G36)*60+(G36-(TRUNC(G36)))*100)-(TRUNC(F36)*60+(F36-TRUNC(F36))*100))-(IF(M36&lt;przerwa1,pause,przerwa1)))/60)))*60/100)))</f>
        <v>8</v>
      </c>
      <c r="I36" s="55">
        <f>IF(AND(D36="gp",F36=""),-(TRUNC(godz/1.5)+((godz/1.5)-TRUNC(godz/1.5))*60/100),IF(AND(D36="gp",F36&lt;&gt;"",G36&lt;&gt;""),ROUND(TRUNC((TRUNC(ROUND((TRUNC(H36-godz)+(((TRUNC(H36)*60)+(H36-TRUNC(H36))*100)-(godz*60)-(TRUNC(H36-godz)*60))/100),2))+((ROUND((TRUNC(H36-godz)+(((TRUNC(H36)*60)+(H36-TRUNC(H36))*100)-(godz*60)-(TRUNC(H36-godz)*60))/100),2)-TRUNC(ROUND((TRUNC(H36-godz)+(((TRUNC(H36)*60)+(H36-TRUNC(H36))*100)-(godz*60)-(TRUNC(H36-godz)*60))/100),2)))*100/60))/1.5)+(((TRUNC(ROUND((TRUNC(H36-godz)+(((TRUNC(H36)*60)+(H36-TRUNC(H36))*100)-(godz*60)-(TRUNC(H36-godz)*60))/100),2))+((ROUND((TRUNC(H36-godz)+(((TRUNC(H36)*60)+(H36-TRUNC(H36))*100)-(godz*60)-(TRUNC(H36-godz)*60))/100),2)-TRUNC(ROUND((TRUNC(H36-godz)+(((TRUNC(H36)*60)+(H36-TRUNC(H36))*100)-(godz*60)-(TRUNC(H36-godz)*60))/100),2)))*100/60))/1.5)-TRUNC((TRUNC(ROUND((TRUNC(H36-godz)+(((TRUNC(H36)*60)+(H36-TRUNC(H36))*100)-(godz*60)-(TRUNC(H36-godz)*60))/100),2))+((ROUND((TRUNC(H36-godz)+(((TRUNC(H36)*60)+(H36-TRUNC(H36))*100)-(godz*60)-(TRUNC(H36-godz)*60))/100),2)-TRUNC(ROUND((TRUNC(H36-godz)+(((TRUNC(H36)*60)+(H36-TRUNC(H36))*100)-(godz*60)-(TRUNC(H36-godz)*60))/100),2)))*100/60))/1.5))*60/100,2),IF(OR((B36=83),(D36="w"),(D36="s"),(D36="c"),(D36="a"),(D36="oc"),(D36="um"),(D36="op"),(D36="uz"),(D36="u")),"",ROUND((TRUNC(H36-godz)+(((TRUNC(H36)*60)+(H36-TRUNC(H36))*100)-(godz*60)-(TRUNC(H36-godz)*60))/100),2))))</f>
        <v>0</v>
      </c>
      <c r="J36" s="56">
        <f t="shared" si="3"/>
        <v>0</v>
      </c>
      <c r="K36" s="57">
        <f t="shared" si="34"/>
        <v>1</v>
      </c>
      <c r="L36" s="57">
        <f t="shared" si="17"/>
        <v>0</v>
      </c>
      <c r="M36" s="58" t="str">
        <f>IF(((((((TRUNC(G36)-1)-TRUNC(F36))*60)+((G36-TRUNC(G36))*100)+(60-(F36-TRUNC(F36))*100)))/100)&lt;pause2,"przerwa1","pause")</f>
        <v>przerwa1</v>
      </c>
      <c r="N36" s="57">
        <f t="shared" si="18"/>
        <v>1</v>
      </c>
      <c r="O36" s="138"/>
      <c r="P36" s="149"/>
      <c r="Q36" s="173"/>
      <c r="R36" s="8"/>
      <c r="S36" s="60">
        <f t="shared" si="5"/>
        <v>0</v>
      </c>
      <c r="T36" s="60" t="str">
        <f t="shared" si="19"/>
        <v xml:space="preserve"> </v>
      </c>
      <c r="U36" s="60" t="str">
        <f t="shared" si="20"/>
        <v xml:space="preserve"> </v>
      </c>
      <c r="W36">
        <f t="shared" si="21"/>
        <v>480</v>
      </c>
      <c r="X36">
        <f t="shared" si="22"/>
        <v>0</v>
      </c>
      <c r="Y36">
        <f t="shared" si="23"/>
        <v>480</v>
      </c>
      <c r="AD36" s="158">
        <f t="shared" si="25"/>
        <v>8</v>
      </c>
      <c r="AE36" s="158">
        <f t="shared" si="26"/>
        <v>0</v>
      </c>
      <c r="AF36" s="64">
        <f t="shared" si="27"/>
        <v>8</v>
      </c>
      <c r="AG36" s="169">
        <f>TRUNC(G36)</f>
        <v>16</v>
      </c>
      <c r="AH36" s="169">
        <f>G36-TRUNC(G36)</f>
        <v>0</v>
      </c>
      <c r="AI36" s="64">
        <f>IF(G36&lt;&gt;0,AG36+(AH36/0.6)," ")</f>
        <v>16</v>
      </c>
      <c r="AJ36" s="169">
        <f t="shared" si="31"/>
        <v>8</v>
      </c>
      <c r="AK36" s="169">
        <f t="shared" si="32"/>
        <v>0</v>
      </c>
      <c r="AL36" s="64">
        <f t="shared" si="33"/>
        <v>8</v>
      </c>
    </row>
    <row r="37" spans="1:38" ht="15.75" x14ac:dyDescent="0.25">
      <c r="A37" s="2">
        <f t="shared" si="24"/>
        <v>46322</v>
      </c>
      <c r="B37" s="2">
        <f t="shared" si="15"/>
        <v>84</v>
      </c>
      <c r="C37" s="54" t="str">
        <f t="shared" si="0"/>
        <v>27.10. wtorek</v>
      </c>
      <c r="D37" s="159"/>
      <c r="E37" s="117" t="str">
        <f t="shared" si="16"/>
        <v xml:space="preserve"> </v>
      </c>
      <c r="F37" s="115">
        <v>8</v>
      </c>
      <c r="G37" s="115">
        <v>16</v>
      </c>
      <c r="H37" s="55">
        <f>IF(D37="d",(((((TRUNC(G37)-1)-TRUNC(F37))*60)+((G37-TRUNC(G37))*100)+(60-(F37-TRUNC(F37))*100))-(IF(M37&lt;przerwa1,pause,przerwa1)))/60,IF((OR((B37=83),(D37="u"),(D37="uz"),(D37="a"),(D37="c"),(D37="s"),(AND(D37="w",F37="")),(D37="oc"),(D37="um"),(D37="op"),(D37="oc"))),"",IF(OR(D37="g",AND(D37="gp",F37="")),0,TRUNC((((TRUNC(G37)*60+(G37-(TRUNC(G37)))*100)-(TRUNC(F37)*60+(F37-TRUNC(F37))*100))-(IF(M37&lt;przerwa1,pause,przerwa1)))/60)+(((((TRUNC(G37)*60+(G37-(TRUNC(G37)))*100)-(TRUNC(F37)*60+(F37-TRUNC(F37))*100))-(IF(M37&lt;przerwa1,pause,przerwa1)))/60)-TRUNC(((((TRUNC(G37)*60+(G37-(TRUNC(G37)))*100)-(TRUNC(F37)*60+(F37-TRUNC(F37))*100))-(IF(M37&lt;przerwa1,pause,przerwa1)))/60)))*60/100)))</f>
        <v>8</v>
      </c>
      <c r="I37" s="55">
        <f>IF(AND(D37="gp",F37=""),-(TRUNC(godz/1.5)+((godz/1.5)-TRUNC(godz/1.5))*60/100),IF(AND(D37="gp",F37&lt;&gt;"",G37&lt;&gt;""),ROUND(TRUNC((TRUNC(ROUND((TRUNC(H37-godz)+(((TRUNC(H37)*60)+(H37-TRUNC(H37))*100)-(godz*60)-(TRUNC(H37-godz)*60))/100),2))+((ROUND((TRUNC(H37-godz)+(((TRUNC(H37)*60)+(H37-TRUNC(H37))*100)-(godz*60)-(TRUNC(H37-godz)*60))/100),2)-TRUNC(ROUND((TRUNC(H37-godz)+(((TRUNC(H37)*60)+(H37-TRUNC(H37))*100)-(godz*60)-(TRUNC(H37-godz)*60))/100),2)))*100/60))/1.5)+(((TRUNC(ROUND((TRUNC(H37-godz)+(((TRUNC(H37)*60)+(H37-TRUNC(H37))*100)-(godz*60)-(TRUNC(H37-godz)*60))/100),2))+((ROUND((TRUNC(H37-godz)+(((TRUNC(H37)*60)+(H37-TRUNC(H37))*100)-(godz*60)-(TRUNC(H37-godz)*60))/100),2)-TRUNC(ROUND((TRUNC(H37-godz)+(((TRUNC(H37)*60)+(H37-TRUNC(H37))*100)-(godz*60)-(TRUNC(H37-godz)*60))/100),2)))*100/60))/1.5)-TRUNC((TRUNC(ROUND((TRUNC(H37-godz)+(((TRUNC(H37)*60)+(H37-TRUNC(H37))*100)-(godz*60)-(TRUNC(H37-godz)*60))/100),2))+((ROUND((TRUNC(H37-godz)+(((TRUNC(H37)*60)+(H37-TRUNC(H37))*100)-(godz*60)-(TRUNC(H37-godz)*60))/100),2)-TRUNC(ROUND((TRUNC(H37-godz)+(((TRUNC(H37)*60)+(H37-TRUNC(H37))*100)-(godz*60)-(TRUNC(H37-godz)*60))/100),2)))*100/60))/1.5))*60/100,2),IF(OR((B37=83),(D37="w"),(D37="s"),(D37="c"),(D37="a"),(D37="oc"),(D37="um"),(D37="op"),(D37="uz"),(D37="u")),"",ROUND((TRUNC(H37-godz)+(((TRUNC(H37)*60)+(H37-TRUNC(H37))*100)-(godz*60)-(TRUNC(H37-godz)*60))/100),2))))</f>
        <v>0</v>
      </c>
      <c r="J37" s="56">
        <f t="shared" si="3"/>
        <v>0</v>
      </c>
      <c r="K37" s="57">
        <f t="shared" si="34"/>
        <v>1</v>
      </c>
      <c r="L37" s="57">
        <f t="shared" si="17"/>
        <v>0</v>
      </c>
      <c r="M37" s="58" t="str">
        <f>IF(((((((TRUNC(G37)-1)-TRUNC(F37))*60)+((G37-TRUNC(G37))*100)+(60-(F37-TRUNC(F37))*100)))/100)&lt;pause2,"przerwa1","pause")</f>
        <v>przerwa1</v>
      </c>
      <c r="N37" s="57">
        <f t="shared" si="18"/>
        <v>1</v>
      </c>
      <c r="O37" s="138"/>
      <c r="P37" s="149"/>
      <c r="Q37" s="138"/>
      <c r="R37" s="8"/>
      <c r="S37" s="60">
        <f t="shared" si="5"/>
        <v>0</v>
      </c>
      <c r="T37" s="60" t="str">
        <f t="shared" si="19"/>
        <v xml:space="preserve"> </v>
      </c>
      <c r="U37" s="60" t="str">
        <f t="shared" si="20"/>
        <v xml:space="preserve"> </v>
      </c>
      <c r="W37">
        <f t="shared" si="21"/>
        <v>480</v>
      </c>
      <c r="X37">
        <f t="shared" si="22"/>
        <v>0</v>
      </c>
      <c r="Y37">
        <f t="shared" si="23"/>
        <v>480</v>
      </c>
      <c r="AD37" s="158">
        <f t="shared" si="25"/>
        <v>8</v>
      </c>
      <c r="AE37" s="158">
        <f t="shared" si="26"/>
        <v>0</v>
      </c>
      <c r="AF37" s="64">
        <f t="shared" si="27"/>
        <v>8</v>
      </c>
      <c r="AG37" s="169">
        <f>TRUNC(G37)</f>
        <v>16</v>
      </c>
      <c r="AH37" s="169">
        <f>G37-TRUNC(G37)</f>
        <v>0</v>
      </c>
      <c r="AI37" s="64">
        <f>IF(G37&lt;&gt;0,AG37+(AH37/0.6)," ")</f>
        <v>16</v>
      </c>
      <c r="AJ37" s="169">
        <f t="shared" si="31"/>
        <v>8</v>
      </c>
      <c r="AK37" s="169">
        <f t="shared" si="32"/>
        <v>0</v>
      </c>
      <c r="AL37" s="64">
        <f t="shared" si="33"/>
        <v>8</v>
      </c>
    </row>
    <row r="38" spans="1:38" ht="15.75" x14ac:dyDescent="0.25">
      <c r="A38" s="2">
        <f t="shared" si="24"/>
        <v>46323</v>
      </c>
      <c r="B38" s="2">
        <f t="shared" si="15"/>
        <v>84</v>
      </c>
      <c r="C38" s="54" t="str">
        <f t="shared" si="0"/>
        <v>28.10. środa</v>
      </c>
      <c r="D38" s="159"/>
      <c r="E38" s="117" t="str">
        <f t="shared" si="16"/>
        <v xml:space="preserve"> </v>
      </c>
      <c r="F38" s="115">
        <v>8</v>
      </c>
      <c r="G38" s="115">
        <v>16</v>
      </c>
      <c r="H38" s="55">
        <f t="shared" si="1"/>
        <v>8</v>
      </c>
      <c r="I38" s="55">
        <f t="shared" si="2"/>
        <v>0</v>
      </c>
      <c r="J38" s="56">
        <f t="shared" si="3"/>
        <v>0</v>
      </c>
      <c r="K38" s="57">
        <f t="shared" si="34"/>
        <v>1</v>
      </c>
      <c r="L38" s="57">
        <f t="shared" si="17"/>
        <v>0</v>
      </c>
      <c r="M38" s="58" t="str">
        <f t="shared" si="4"/>
        <v>przerwa1</v>
      </c>
      <c r="N38" s="57">
        <f t="shared" si="18"/>
        <v>1</v>
      </c>
      <c r="O38" s="138"/>
      <c r="P38" s="149"/>
      <c r="Q38" s="173"/>
      <c r="R38" s="8"/>
      <c r="S38" s="60">
        <f t="shared" si="5"/>
        <v>0</v>
      </c>
      <c r="T38" s="60" t="str">
        <f t="shared" si="19"/>
        <v xml:space="preserve"> </v>
      </c>
      <c r="U38" s="60" t="str">
        <f t="shared" si="20"/>
        <v xml:space="preserve"> </v>
      </c>
      <c r="W38">
        <f t="shared" si="21"/>
        <v>480</v>
      </c>
      <c r="X38">
        <f t="shared" si="22"/>
        <v>0</v>
      </c>
      <c r="Y38">
        <f t="shared" si="23"/>
        <v>480</v>
      </c>
      <c r="AD38" s="158">
        <f t="shared" si="25"/>
        <v>8</v>
      </c>
      <c r="AE38" s="158">
        <f t="shared" si="26"/>
        <v>0</v>
      </c>
      <c r="AF38" s="64">
        <f t="shared" si="27"/>
        <v>8</v>
      </c>
      <c r="AG38" s="169">
        <f t="shared" si="28"/>
        <v>16</v>
      </c>
      <c r="AH38" s="169">
        <f t="shared" si="29"/>
        <v>0</v>
      </c>
      <c r="AI38" s="64">
        <f t="shared" si="30"/>
        <v>16</v>
      </c>
      <c r="AJ38" s="169">
        <f t="shared" si="31"/>
        <v>8</v>
      </c>
      <c r="AK38" s="169">
        <f t="shared" si="32"/>
        <v>0</v>
      </c>
      <c r="AL38" s="64">
        <f t="shared" si="33"/>
        <v>8</v>
      </c>
    </row>
    <row r="39" spans="1:38" ht="15.75" x14ac:dyDescent="0.25">
      <c r="A39" s="2">
        <f t="shared" si="24"/>
        <v>46324</v>
      </c>
      <c r="B39" s="2">
        <f t="shared" si="15"/>
        <v>84</v>
      </c>
      <c r="C39" s="54" t="str">
        <f t="shared" si="0"/>
        <v>29.10. czwartek</v>
      </c>
      <c r="D39" s="159"/>
      <c r="E39" s="117" t="str">
        <f t="shared" si="16"/>
        <v xml:space="preserve"> </v>
      </c>
      <c r="F39" s="115">
        <v>8</v>
      </c>
      <c r="G39" s="115">
        <v>16</v>
      </c>
      <c r="H39" s="55">
        <f t="shared" si="1"/>
        <v>8</v>
      </c>
      <c r="I39" s="55">
        <f t="shared" si="2"/>
        <v>0</v>
      </c>
      <c r="J39" s="56">
        <f t="shared" si="3"/>
        <v>0</v>
      </c>
      <c r="K39" s="57">
        <f t="shared" si="34"/>
        <v>1</v>
      </c>
      <c r="L39" s="57">
        <f t="shared" si="17"/>
        <v>0</v>
      </c>
      <c r="M39" s="58" t="str">
        <f t="shared" si="4"/>
        <v>przerwa1</v>
      </c>
      <c r="N39" s="57">
        <f t="shared" si="18"/>
        <v>1</v>
      </c>
      <c r="O39" s="138"/>
      <c r="P39" s="149"/>
      <c r="Q39" s="173"/>
      <c r="R39" s="8"/>
      <c r="S39" s="60">
        <f t="shared" si="5"/>
        <v>0</v>
      </c>
      <c r="T39" s="60" t="str">
        <f t="shared" si="19"/>
        <v xml:space="preserve"> </v>
      </c>
      <c r="U39" s="60" t="str">
        <f t="shared" si="20"/>
        <v xml:space="preserve"> </v>
      </c>
      <c r="W39">
        <f t="shared" si="21"/>
        <v>480</v>
      </c>
      <c r="X39">
        <f t="shared" si="22"/>
        <v>0</v>
      </c>
      <c r="Y39">
        <f t="shared" si="23"/>
        <v>480</v>
      </c>
      <c r="AD39" s="158">
        <f t="shared" si="25"/>
        <v>8</v>
      </c>
      <c r="AE39" s="158">
        <f t="shared" si="26"/>
        <v>0</v>
      </c>
      <c r="AF39" s="64">
        <f t="shared" si="27"/>
        <v>8</v>
      </c>
      <c r="AG39" s="169">
        <f t="shared" si="28"/>
        <v>16</v>
      </c>
      <c r="AH39" s="169">
        <f t="shared" si="29"/>
        <v>0</v>
      </c>
      <c r="AI39" s="64">
        <f t="shared" si="30"/>
        <v>16</v>
      </c>
      <c r="AJ39" s="169">
        <f t="shared" si="31"/>
        <v>8</v>
      </c>
      <c r="AK39" s="169">
        <f t="shared" si="32"/>
        <v>0</v>
      </c>
      <c r="AL39" s="64">
        <f t="shared" si="33"/>
        <v>8</v>
      </c>
    </row>
    <row r="40" spans="1:38" ht="15.75" x14ac:dyDescent="0.25">
      <c r="A40" s="2">
        <f t="shared" si="24"/>
        <v>46325</v>
      </c>
      <c r="B40" s="2">
        <f t="shared" si="15"/>
        <v>84</v>
      </c>
      <c r="C40" s="54" t="str">
        <f t="shared" si="0"/>
        <v>30.10. piątek</v>
      </c>
      <c r="D40" s="159"/>
      <c r="E40" s="117" t="str">
        <f t="shared" si="16"/>
        <v xml:space="preserve"> </v>
      </c>
      <c r="F40" s="115">
        <v>8</v>
      </c>
      <c r="G40" s="115">
        <v>16</v>
      </c>
      <c r="H40" s="55">
        <f t="shared" si="1"/>
        <v>8</v>
      </c>
      <c r="I40" s="55">
        <f t="shared" si="2"/>
        <v>0</v>
      </c>
      <c r="J40" s="56">
        <f t="shared" si="3"/>
        <v>0</v>
      </c>
      <c r="K40" s="57">
        <f t="shared" si="34"/>
        <v>1</v>
      </c>
      <c r="L40" s="57">
        <f t="shared" si="17"/>
        <v>0</v>
      </c>
      <c r="M40" s="58" t="str">
        <f t="shared" si="4"/>
        <v>przerwa1</v>
      </c>
      <c r="N40" s="57">
        <f t="shared" si="18"/>
        <v>1</v>
      </c>
      <c r="O40" s="138"/>
      <c r="P40" s="149"/>
      <c r="Q40" s="173"/>
      <c r="R40" s="8"/>
      <c r="S40" s="60">
        <f t="shared" si="5"/>
        <v>0</v>
      </c>
      <c r="T40" s="60" t="str">
        <f t="shared" si="19"/>
        <v xml:space="preserve"> </v>
      </c>
      <c r="U40" s="60" t="str">
        <f t="shared" si="20"/>
        <v xml:space="preserve"> </v>
      </c>
      <c r="W40">
        <f t="shared" si="21"/>
        <v>480</v>
      </c>
      <c r="X40">
        <f t="shared" si="22"/>
        <v>0</v>
      </c>
      <c r="Y40">
        <f t="shared" si="23"/>
        <v>480</v>
      </c>
      <c r="AD40" s="158">
        <f t="shared" si="25"/>
        <v>8</v>
      </c>
      <c r="AE40" s="158">
        <f t="shared" si="26"/>
        <v>0</v>
      </c>
      <c r="AF40" s="64">
        <f t="shared" si="27"/>
        <v>8</v>
      </c>
      <c r="AG40" s="169">
        <f t="shared" si="28"/>
        <v>16</v>
      </c>
      <c r="AH40" s="169">
        <f t="shared" si="29"/>
        <v>0</v>
      </c>
      <c r="AI40" s="64">
        <f t="shared" si="30"/>
        <v>16</v>
      </c>
      <c r="AJ40" s="169">
        <f t="shared" si="31"/>
        <v>8</v>
      </c>
      <c r="AK40" s="169">
        <f t="shared" si="32"/>
        <v>0</v>
      </c>
      <c r="AL40" s="64">
        <f t="shared" si="33"/>
        <v>8</v>
      </c>
    </row>
    <row r="41" spans="1:38" ht="15.75" x14ac:dyDescent="0.25">
      <c r="A41" s="2">
        <f t="shared" si="24"/>
        <v>46326</v>
      </c>
      <c r="B41" s="2">
        <f t="shared" si="15"/>
        <v>84</v>
      </c>
      <c r="C41" s="54" t="str">
        <f t="shared" si="0"/>
        <v>31.10. sobota</v>
      </c>
      <c r="D41" s="159" t="s">
        <v>47</v>
      </c>
      <c r="E41" s="117" t="str">
        <f t="shared" si="16"/>
        <v>wolne</v>
      </c>
      <c r="F41" s="115"/>
      <c r="G41" s="115"/>
      <c r="H41" s="55" t="str">
        <f t="shared" si="1"/>
        <v/>
      </c>
      <c r="I41" s="55" t="str">
        <f t="shared" si="2"/>
        <v/>
      </c>
      <c r="J41" s="56" t="str">
        <f t="shared" si="3"/>
        <v/>
      </c>
      <c r="K41" s="57">
        <f t="shared" si="34"/>
        <v>0</v>
      </c>
      <c r="L41" s="57">
        <f t="shared" si="17"/>
        <v>0</v>
      </c>
      <c r="M41" s="58" t="str">
        <f t="shared" si="4"/>
        <v>przerwa1</v>
      </c>
      <c r="N41" s="57">
        <f t="shared" si="18"/>
        <v>0</v>
      </c>
      <c r="O41" s="138"/>
      <c r="P41" s="149"/>
      <c r="Q41" s="173"/>
      <c r="R41" s="8"/>
      <c r="S41" s="60" t="str">
        <f t="shared" si="5"/>
        <v xml:space="preserve"> </v>
      </c>
      <c r="T41" s="60" t="str">
        <f t="shared" si="19"/>
        <v xml:space="preserve"> </v>
      </c>
      <c r="U41" s="60" t="str">
        <f t="shared" si="20"/>
        <v xml:space="preserve"> </v>
      </c>
      <c r="W41">
        <f t="shared" si="21"/>
        <v>0</v>
      </c>
      <c r="X41">
        <f t="shared" si="22"/>
        <v>0</v>
      </c>
      <c r="Y41">
        <f t="shared" si="23"/>
        <v>0</v>
      </c>
      <c r="AD41" s="158">
        <f t="shared" si="25"/>
        <v>0</v>
      </c>
      <c r="AE41" s="158">
        <f t="shared" si="26"/>
        <v>0</v>
      </c>
      <c r="AF41" s="64" t="str">
        <f t="shared" si="27"/>
        <v xml:space="preserve"> </v>
      </c>
      <c r="AG41" s="169">
        <f t="shared" si="28"/>
        <v>0</v>
      </c>
      <c r="AH41" s="169">
        <f t="shared" si="29"/>
        <v>0</v>
      </c>
      <c r="AI41" s="64" t="str">
        <f t="shared" si="30"/>
        <v xml:space="preserve"> </v>
      </c>
      <c r="AJ41" s="169" t="str">
        <f t="shared" si="31"/>
        <v/>
      </c>
      <c r="AK41" s="169" t="str">
        <f t="shared" si="32"/>
        <v/>
      </c>
      <c r="AL41" s="64" t="str">
        <f t="shared" si="33"/>
        <v xml:space="preserve"> </v>
      </c>
    </row>
    <row r="42" spans="1:38" ht="15.75" x14ac:dyDescent="0.25">
      <c r="A42" s="1"/>
      <c r="B42" s="1"/>
      <c r="C42" s="54"/>
      <c r="D42" s="116"/>
      <c r="E42" s="117"/>
      <c r="F42" s="115"/>
      <c r="G42" s="115"/>
      <c r="H42" s="55"/>
      <c r="I42" s="59"/>
      <c r="J42" s="59"/>
      <c r="K42" s="57">
        <f t="shared" si="34"/>
        <v>1</v>
      </c>
      <c r="L42" s="57">
        <f>IF(OR((D42="c"),(D42="u")),1,0)</f>
        <v>0</v>
      </c>
      <c r="M42" s="63"/>
      <c r="N42" s="57">
        <f>IF(OR((B42=83),(D42="w"),(D42="g"),(D42="c"),(D42="u")),0,1)</f>
        <v>1</v>
      </c>
      <c r="O42" s="64">
        <f>TRUNC(SUM(O11:O41)/60)+((SUM(O11:O41)/60)-(TRUNC(SUM(O11:O41)/60)))*60/100</f>
        <v>0</v>
      </c>
      <c r="P42" t="s">
        <v>132</v>
      </c>
      <c r="Q42" s="8"/>
      <c r="R42" s="8"/>
      <c r="S42" s="65">
        <f>SUM(S11:S41)</f>
        <v>0</v>
      </c>
      <c r="T42" s="66">
        <f>SUM(T11:T41)</f>
        <v>0</v>
      </c>
      <c r="U42" s="66">
        <f>SUM(U11:U41)</f>
        <v>0</v>
      </c>
    </row>
    <row r="43" spans="1:38" x14ac:dyDescent="0.25">
      <c r="A43" s="1"/>
      <c r="B43" s="1"/>
      <c r="C43" s="67"/>
      <c r="D43" s="21"/>
      <c r="E43" s="21"/>
      <c r="F43" s="21"/>
      <c r="G43" s="21"/>
      <c r="H43" s="21"/>
      <c r="I43" s="68"/>
      <c r="J43" s="68"/>
      <c r="K43" s="69"/>
      <c r="L43" s="69"/>
      <c r="M43" s="69"/>
      <c r="N43" s="70"/>
      <c r="O43" s="144"/>
      <c r="P43" s="8"/>
      <c r="Q43" s="8"/>
      <c r="R43" s="8"/>
      <c r="S43" s="71">
        <f>S42/60</f>
        <v>0</v>
      </c>
      <c r="T43" s="66"/>
      <c r="U43" s="8"/>
    </row>
    <row r="44" spans="1:38" x14ac:dyDescent="0.25">
      <c r="A44" s="1"/>
      <c r="B44" s="1"/>
      <c r="C44" s="67" t="s">
        <v>30</v>
      </c>
      <c r="D44" s="21"/>
      <c r="E44" s="72">
        <f>SUM(K11:K41)</f>
        <v>22</v>
      </c>
      <c r="F44" s="21" t="s">
        <v>31</v>
      </c>
      <c r="G44" s="21"/>
      <c r="H44" s="21"/>
      <c r="I44" s="73" t="s">
        <v>32</v>
      </c>
      <c r="J44" s="72">
        <f>SUM(N11:N41)</f>
        <v>22</v>
      </c>
      <c r="K44" s="74" t="s">
        <v>31</v>
      </c>
      <c r="L44" s="74"/>
      <c r="M44" s="74"/>
      <c r="N44" s="30"/>
      <c r="O44" s="141" t="s">
        <v>31</v>
      </c>
      <c r="P44" s="8"/>
      <c r="W44">
        <f>((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60)</f>
        <v>10560</v>
      </c>
      <c r="X44">
        <f>(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-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100)</f>
        <v>0</v>
      </c>
      <c r="Y44">
        <f>((TRUNC(O42)*60)+(O42-TRUNC(O42))*100)</f>
        <v>0</v>
      </c>
      <c r="Z44">
        <f>W44+X44+Y44</f>
        <v>10560</v>
      </c>
      <c r="AA44">
        <f>Z44/60</f>
        <v>176</v>
      </c>
      <c r="AB44">
        <f>TRUNC(AA44)</f>
        <v>176</v>
      </c>
      <c r="AC44">
        <f>(AA44-AB44)*60/100</f>
        <v>0</v>
      </c>
      <c r="AD44">
        <f>AB44+AC44</f>
        <v>176</v>
      </c>
    </row>
    <row r="45" spans="1:38" x14ac:dyDescent="0.25">
      <c r="A45" s="1"/>
      <c r="B45" s="1"/>
      <c r="C45" s="75" t="s">
        <v>33</v>
      </c>
      <c r="D45" s="21"/>
      <c r="E45" s="76">
        <f>ROUND(SUM(K11:K41)*godz,2)</f>
        <v>176</v>
      </c>
      <c r="F45" s="21" t="s">
        <v>34</v>
      </c>
      <c r="G45" s="21"/>
      <c r="H45" s="21"/>
      <c r="I45" s="73" t="s">
        <v>35</v>
      </c>
      <c r="J45" s="76">
        <f>AB44+AC44</f>
        <v>176</v>
      </c>
      <c r="K45" s="74" t="s">
        <v>34</v>
      </c>
      <c r="L45" s="74"/>
      <c r="M45" s="74"/>
      <c r="N45" s="30"/>
      <c r="O45" s="141" t="s">
        <v>34</v>
      </c>
      <c r="P45" s="8"/>
    </row>
    <row r="46" spans="1:38" x14ac:dyDescent="0.25">
      <c r="A46" s="1"/>
      <c r="B46" s="1"/>
      <c r="C46" s="67"/>
      <c r="D46" s="21"/>
      <c r="E46" s="76"/>
      <c r="F46" s="21"/>
      <c r="G46" s="21"/>
      <c r="H46" s="21"/>
      <c r="I46" s="73"/>
      <c r="J46" s="76"/>
      <c r="K46" s="74"/>
      <c r="L46" s="74"/>
      <c r="M46" s="74"/>
      <c r="N46" s="30"/>
      <c r="O46" s="141"/>
      <c r="P46" s="8"/>
    </row>
    <row r="47" spans="1:38" x14ac:dyDescent="0.25">
      <c r="A47" s="1"/>
      <c r="B47" s="1"/>
      <c r="C47" s="67"/>
      <c r="D47" s="21"/>
      <c r="E47" s="76"/>
      <c r="F47" s="21"/>
      <c r="G47" s="21"/>
      <c r="H47" s="21"/>
      <c r="I47" s="73" t="s">
        <v>36</v>
      </c>
      <c r="J47" s="72">
        <f>SUM(L11:L41)</f>
        <v>0</v>
      </c>
      <c r="K47" s="74" t="s">
        <v>37</v>
      </c>
      <c r="L47" s="74"/>
      <c r="M47" s="74"/>
      <c r="N47" s="30"/>
      <c r="O47" s="141" t="s">
        <v>37</v>
      </c>
      <c r="P47" s="8"/>
    </row>
    <row r="48" spans="1:38" x14ac:dyDescent="0.25">
      <c r="A48" s="1"/>
      <c r="B48" s="1"/>
      <c r="C48" s="67"/>
      <c r="D48" s="21"/>
      <c r="E48" s="21"/>
      <c r="F48" s="21"/>
      <c r="G48" s="21"/>
      <c r="H48" s="21"/>
      <c r="I48" s="73" t="s">
        <v>147</v>
      </c>
      <c r="J48" s="167"/>
      <c r="K48" s="78"/>
      <c r="L48" s="78"/>
      <c r="M48" s="78"/>
      <c r="N48" s="79"/>
      <c r="O48" s="141"/>
      <c r="P48" s="8"/>
    </row>
    <row r="49" spans="3:16" x14ac:dyDescent="0.25">
      <c r="C49" s="80" t="s">
        <v>61</v>
      </c>
      <c r="D49" s="21"/>
      <c r="E49" s="76">
        <f>TRUNC((((TRUNC(J45)*60)+(J45-TRUNC(J45))*100)-E45*60)/60)+((((((TRUNC(J45)*60)+(J45-TRUNC(J45))*100)-E45*60)/60)-TRUNC((((TRUNC(J45)*60)+(J45-TRUNC(J45))*100)-E45*60)/60))*60/100)</f>
        <v>0</v>
      </c>
      <c r="F49" s="21" t="s">
        <v>34</v>
      </c>
      <c r="G49" s="8"/>
      <c r="H49" s="73"/>
      <c r="I49" s="73" t="s">
        <v>148</v>
      </c>
      <c r="J49" s="76">
        <f>TRUNC((((ROUND(J47*godz,2))*60)-(TRUNC(J48)*60+(J48-TRUNC(J48))*100))/60)+((((((ROUND(J47*godz,2))*60)-(TRUNC(J48)*60+(J48-TRUNC(J48))*100))/60)-TRUNC((((ROUND(J47*godz,2))*60)-(TRUNC(J48)*60+(J48-TRUNC(J48))*100))/60))*60/100)</f>
        <v>0</v>
      </c>
      <c r="K49" s="77"/>
      <c r="L49" s="21"/>
      <c r="M49" s="21"/>
      <c r="N49" s="30"/>
      <c r="O49" s="142"/>
      <c r="P49" s="21"/>
    </row>
    <row r="50" spans="3:16" ht="15.75" thickBot="1" x14ac:dyDescent="0.3">
      <c r="C50" s="163" t="s">
        <v>38</v>
      </c>
      <c r="D50" s="164"/>
      <c r="E50" s="165">
        <f>J49</f>
        <v>0</v>
      </c>
      <c r="F50" s="164" t="s">
        <v>34</v>
      </c>
      <c r="G50" s="82"/>
      <c r="H50" s="21"/>
      <c r="I50" s="83"/>
      <c r="J50" s="83"/>
      <c r="K50" s="21"/>
      <c r="L50" s="21"/>
      <c r="M50" s="21"/>
      <c r="N50" s="30"/>
      <c r="O50" s="30"/>
      <c r="P50" s="8"/>
    </row>
    <row r="51" spans="3:16" ht="15.75" thickBot="1" x14ac:dyDescent="0.3">
      <c r="C51" s="166" t="s">
        <v>134</v>
      </c>
      <c r="D51" s="164"/>
      <c r="E51" s="165">
        <f>TRUNC(((TRUNC(J45)*60+(J45-TRUNC(J45))*100)+(TRUNC(J49)*60+(J49-TRUNC(J49))*100))/60)+((((TRUNC(J45)*60+(J45-TRUNC(J45))*100)+(TRUNC(J49)*60+(J49-TRUNC(J49))*100))/60)-TRUNC(((TRUNC(J45)*60+(J45-TRUNC(J45))*100)+(TRUNC(J49)*60+(J49-TRUNC(J49))*100))/60))*60/100</f>
        <v>176</v>
      </c>
      <c r="F51" s="164" t="s">
        <v>34</v>
      </c>
      <c r="G51" s="21"/>
      <c r="H51" s="21"/>
      <c r="I51" s="83" t="s">
        <v>39</v>
      </c>
      <c r="J51" s="84">
        <f>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+(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-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)*60/100)</f>
        <v>0</v>
      </c>
      <c r="K51" s="83" t="s">
        <v>34</v>
      </c>
      <c r="L51" s="83"/>
      <c r="M51" s="85"/>
      <c r="N51" s="30"/>
      <c r="O51" s="143" t="s">
        <v>34</v>
      </c>
      <c r="P51" s="8"/>
    </row>
    <row r="52" spans="3:16" ht="15.75" thickBot="1" x14ac:dyDescent="0.3">
      <c r="C52" s="86"/>
      <c r="D52" s="87"/>
      <c r="E52" s="88" t="s">
        <v>40</v>
      </c>
      <c r="F52" s="89"/>
      <c r="G52" s="87"/>
      <c r="H52" s="87"/>
      <c r="I52" s="88" t="s">
        <v>40</v>
      </c>
      <c r="J52" s="88" t="s">
        <v>41</v>
      </c>
      <c r="K52" s="87"/>
      <c r="L52" s="87"/>
      <c r="M52" s="87"/>
      <c r="N52" s="90"/>
      <c r="O52" s="90"/>
      <c r="P52" s="8"/>
    </row>
    <row r="53" spans="3:16" x14ac:dyDescent="0.25">
      <c r="C53" s="91" t="s">
        <v>42</v>
      </c>
      <c r="D53" s="13"/>
      <c r="E53" s="13"/>
      <c r="F53" s="13"/>
      <c r="G53" s="13"/>
      <c r="H53" s="13"/>
      <c r="I53" s="92"/>
      <c r="J53" s="92"/>
      <c r="K53" s="92"/>
      <c r="L53" s="92"/>
      <c r="M53" s="92"/>
      <c r="N53" s="93"/>
      <c r="O53" s="147"/>
      <c r="P53" s="8"/>
    </row>
    <row r="54" spans="3:16" x14ac:dyDescent="0.25">
      <c r="C54" s="67" t="s">
        <v>43</v>
      </c>
      <c r="D54" s="21"/>
      <c r="E54" s="94">
        <f>'September 2026'!J54</f>
        <v>6.56</v>
      </c>
      <c r="F54" s="83" t="s">
        <v>34</v>
      </c>
      <c r="G54" s="21"/>
      <c r="H54" s="21"/>
      <c r="I54" s="95" t="s">
        <v>44</v>
      </c>
      <c r="J54" s="98">
        <f>TRUNC(SUM(((TRUNC(J51)*60)+((J51-TRUNC(J51))*100)),(TRUNC(E54)*60)+((E54-TRUNC(E54))*100))/60)+((SUM(((TRUNC(J51)*60)+((J51-TRUNC(J51))*100)),(TRUNC(E54)*60)+((E54-TRUNC(E54))*100))/60)-TRUNC((SUM(((TRUNC(J51)*60)+((J51-TRUNC(J51))*100)),(TRUNC(E54)*60)+((E54-TRUNC(E54))*100))/60)))*60/100</f>
        <v>6.56</v>
      </c>
      <c r="K54" s="96" t="s">
        <v>34</v>
      </c>
      <c r="L54" s="81"/>
      <c r="M54" s="81"/>
      <c r="N54" s="30"/>
      <c r="O54" s="145" t="s">
        <v>34</v>
      </c>
      <c r="P54" s="8"/>
    </row>
    <row r="55" spans="3:16" ht="15.75" thickBot="1" x14ac:dyDescent="0.3">
      <c r="C55" s="86"/>
      <c r="D55" s="87"/>
      <c r="E55" s="87"/>
      <c r="F55" s="87"/>
      <c r="G55" s="87"/>
      <c r="H55" s="87"/>
      <c r="I55" s="97"/>
      <c r="J55" s="97"/>
      <c r="K55" s="97"/>
      <c r="L55" s="97"/>
      <c r="M55" s="97"/>
      <c r="N55" s="90"/>
      <c r="O55" s="146"/>
      <c r="P55" s="8"/>
    </row>
    <row r="56" spans="3:16" x14ac:dyDescent="0.25">
      <c r="C56" s="10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</row>
    <row r="57" spans="3:16" x14ac:dyDescent="0.25">
      <c r="C57" s="6"/>
    </row>
    <row r="58" spans="3:16" x14ac:dyDescent="0.25">
      <c r="E58" s="161"/>
    </row>
  </sheetData>
  <sheetProtection selectLockedCells="1"/>
  <mergeCells count="3">
    <mergeCell ref="E2:F2"/>
    <mergeCell ref="E3:F3"/>
    <mergeCell ref="E4:F4"/>
  </mergeCells>
  <pageMargins left="0.7" right="0.7" top="0.75" bottom="0.75" header="0.3" footer="0.3"/>
  <pageSetup paperSize="9" orientation="portrait" horizontalDpi="4294967295" verticalDpi="4294967295" r:id="rId1"/>
  <ignoredErrors>
    <ignoredError sqref="J47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Dane!$A$1:$A$12</xm:f>
          </x14:formula1>
          <xm:sqref>D11:D42</xm:sqref>
        </x14:dataValidation>
        <x14:dataValidation type="list" allowBlank="1" showInputMessage="1" showErrorMessage="1">
          <x14:formula1>
            <xm:f>Dane!$G$2:$G$16</xm:f>
          </x14:formula1>
          <xm:sqref>P11:P42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1"/>
  <dimension ref="A1:AL58"/>
  <sheetViews>
    <sheetView topLeftCell="C16" zoomScaleNormal="100" workbookViewId="0">
      <selection activeCell="E42" sqref="E42"/>
    </sheetView>
  </sheetViews>
  <sheetFormatPr defaultColWidth="9.140625" defaultRowHeight="15" x14ac:dyDescent="0.25"/>
  <cols>
    <col min="1" max="1" width="3.42578125" hidden="1" customWidth="1"/>
    <col min="2" max="2" width="3" hidden="1" customWidth="1"/>
    <col min="3" max="3" width="19.85546875" customWidth="1"/>
    <col min="4" max="4" width="3.7109375" customWidth="1"/>
    <col min="5" max="5" width="14.28515625" bestFit="1" customWidth="1"/>
    <col min="8" max="8" width="7.42578125" customWidth="1"/>
    <col min="9" max="9" width="15.5703125" bestFit="1" customWidth="1"/>
    <col min="10" max="10" width="10" bestFit="1" customWidth="1"/>
    <col min="11" max="11" width="8.7109375" hidden="1" customWidth="1"/>
    <col min="12" max="12" width="17.42578125" hidden="1" customWidth="1"/>
    <col min="13" max="13" width="11" hidden="1" customWidth="1"/>
    <col min="14" max="14" width="18.42578125" hidden="1" customWidth="1"/>
    <col min="15" max="15" width="14.7109375" customWidth="1"/>
    <col min="17" max="17" width="13.28515625" customWidth="1"/>
    <col min="19" max="19" width="9.140625" hidden="1" customWidth="1"/>
    <col min="20" max="20" width="14.28515625" customWidth="1"/>
    <col min="21" max="21" width="14.85546875" customWidth="1"/>
    <col min="23" max="30" width="9.140625" hidden="1" customWidth="1"/>
    <col min="31" max="31" width="0" hidden="1" customWidth="1"/>
    <col min="32" max="32" width="16.140625" bestFit="1" customWidth="1"/>
    <col min="33" max="34" width="0" hidden="1" customWidth="1"/>
    <col min="35" max="35" width="18.28515625" bestFit="1" customWidth="1"/>
    <col min="36" max="37" width="9.140625" hidden="1" customWidth="1"/>
    <col min="38" max="38" width="13.140625" bestFit="1" customWidth="1"/>
  </cols>
  <sheetData>
    <row r="1" spans="1:38" ht="18.75" thickBot="1" x14ac:dyDescent="0.3">
      <c r="A1" s="5" t="s">
        <v>48</v>
      </c>
      <c r="B1" s="1"/>
      <c r="C1" s="103" t="s">
        <v>0</v>
      </c>
      <c r="D1" s="104">
        <v>11</v>
      </c>
      <c r="E1" s="102"/>
      <c r="F1" s="102"/>
      <c r="G1" s="103" t="s">
        <v>1</v>
      </c>
      <c r="H1" s="105" t="str">
        <f>'Januar 2026'!rok</f>
        <v>2026</v>
      </c>
      <c r="I1" s="106" t="s">
        <v>2</v>
      </c>
      <c r="J1" s="104">
        <v>8</v>
      </c>
      <c r="K1" s="108"/>
      <c r="L1" s="109"/>
      <c r="M1" s="109"/>
      <c r="N1" s="110"/>
      <c r="O1" s="8"/>
      <c r="P1" s="8"/>
      <c r="Q1" s="9" t="str">
        <f>Dane!A2</f>
        <v>w</v>
      </c>
      <c r="R1" s="10" t="str">
        <f>Dane!B2</f>
        <v>dzień wolny ustawowo</v>
      </c>
      <c r="S1" s="8"/>
      <c r="T1" s="8"/>
      <c r="U1" s="123" t="str">
        <f>Dane!A9</f>
        <v>oc</v>
      </c>
      <c r="V1" s="8" t="str">
        <f>Dane!B9</f>
        <v>opieka nad chorym dzieckiem</v>
      </c>
    </row>
    <row r="2" spans="1:38" x14ac:dyDescent="0.25">
      <c r="A2" s="2"/>
      <c r="B2" s="125"/>
      <c r="C2" s="11"/>
      <c r="D2" s="11" t="s">
        <v>4</v>
      </c>
      <c r="E2" s="175"/>
      <c r="F2" s="176"/>
      <c r="G2" s="16"/>
      <c r="H2" s="17"/>
      <c r="I2" s="28" t="s">
        <v>5</v>
      </c>
      <c r="J2" s="101">
        <v>40</v>
      </c>
      <c r="K2" s="12" t="s">
        <v>6</v>
      </c>
      <c r="L2" s="13"/>
      <c r="M2" s="13"/>
      <c r="N2" s="14"/>
      <c r="O2" s="12" t="s">
        <v>6</v>
      </c>
      <c r="P2" s="8"/>
      <c r="Q2" s="9" t="str">
        <f>Dane!A3</f>
        <v>u</v>
      </c>
      <c r="R2" s="10" t="str">
        <f>Dane!B3</f>
        <v>urlop</v>
      </c>
      <c r="S2" s="8"/>
      <c r="T2" s="8"/>
      <c r="U2" s="122" t="str">
        <f>Dane!A10</f>
        <v>um</v>
      </c>
      <c r="V2" s="8" t="str">
        <f>Dane!B10</f>
        <v>urlop macierzyński</v>
      </c>
    </row>
    <row r="3" spans="1:38" x14ac:dyDescent="0.25">
      <c r="A3" s="1"/>
      <c r="B3" s="1"/>
      <c r="C3" s="15"/>
      <c r="D3" s="15" t="s">
        <v>46</v>
      </c>
      <c r="E3" s="175"/>
      <c r="F3" s="176"/>
      <c r="G3" s="16"/>
      <c r="H3" s="17"/>
      <c r="I3" s="18"/>
      <c r="J3" s="19"/>
      <c r="K3" s="20"/>
      <c r="L3" s="21"/>
      <c r="M3" s="21"/>
      <c r="N3" s="22"/>
      <c r="O3" s="20"/>
      <c r="P3" s="8"/>
      <c r="Q3" s="9" t="str">
        <f>Dane!A4</f>
        <v>c</v>
      </c>
      <c r="R3" s="10" t="str">
        <f>Dane!B4</f>
        <v>choroba</v>
      </c>
      <c r="S3" s="8"/>
      <c r="T3" s="8"/>
      <c r="U3" s="122" t="str">
        <f>Dane!A11</f>
        <v>uz</v>
      </c>
      <c r="V3" s="8" t="str">
        <f>Dane!B11</f>
        <v>urlop zaplanowany</v>
      </c>
    </row>
    <row r="4" spans="1:38" ht="15.75" thickBot="1" x14ac:dyDescent="0.3">
      <c r="A4" s="3"/>
      <c r="B4" s="1"/>
      <c r="C4" s="15"/>
      <c r="D4" s="23" t="s">
        <v>11</v>
      </c>
      <c r="E4" s="175"/>
      <c r="F4" s="176"/>
      <c r="G4" s="16"/>
      <c r="H4" s="17"/>
      <c r="I4" s="18"/>
      <c r="J4" s="19"/>
      <c r="K4" s="20"/>
      <c r="L4" s="21"/>
      <c r="M4" s="21"/>
      <c r="N4" s="22"/>
      <c r="O4" s="20"/>
      <c r="P4" s="8"/>
      <c r="Q4" s="9" t="str">
        <f>Dane!A5</f>
        <v>g</v>
      </c>
      <c r="R4" s="10" t="str">
        <f>Dane!B5</f>
        <v xml:space="preserve">godz.(rządanie pracownika) </v>
      </c>
      <c r="S4" s="8"/>
      <c r="T4" s="8"/>
      <c r="U4" s="122" t="str">
        <f>Dane!A12</f>
        <v>gp</v>
      </c>
      <c r="V4" t="str">
        <f>Dane!B12</f>
        <v xml:space="preserve">godz.(rządanie pracodawcy) </v>
      </c>
    </row>
    <row r="5" spans="1:38" x14ac:dyDescent="0.25">
      <c r="A5" s="3"/>
      <c r="B5" s="1"/>
      <c r="C5" s="15"/>
      <c r="D5" s="24"/>
      <c r="E5" s="25"/>
      <c r="F5" s="26"/>
      <c r="G5" s="27"/>
      <c r="H5" s="17"/>
      <c r="I5" s="28" t="s">
        <v>12</v>
      </c>
      <c r="J5" s="111">
        <v>0</v>
      </c>
      <c r="K5" s="29" t="s">
        <v>13</v>
      </c>
      <c r="L5" s="21"/>
      <c r="M5" s="21"/>
      <c r="N5" s="30"/>
      <c r="O5" s="29" t="s">
        <v>13</v>
      </c>
      <c r="P5" s="8"/>
      <c r="Q5" s="9" t="str">
        <f>Dane!A6</f>
        <v>s</v>
      </c>
      <c r="R5" s="10" t="str">
        <f>Dane!B6</f>
        <v>urlop specjalny/okolicznościow</v>
      </c>
      <c r="S5" s="8"/>
      <c r="T5" s="8"/>
      <c r="U5" s="9"/>
    </row>
    <row r="6" spans="1:38" x14ac:dyDescent="0.25">
      <c r="A6" s="3"/>
      <c r="B6" s="1"/>
      <c r="C6" s="15"/>
      <c r="D6" s="23"/>
      <c r="E6" s="31"/>
      <c r="F6" s="32"/>
      <c r="G6" s="33"/>
      <c r="H6" s="17"/>
      <c r="I6" s="21"/>
      <c r="J6" s="112">
        <v>0</v>
      </c>
      <c r="K6" s="29" t="s">
        <v>16</v>
      </c>
      <c r="L6" s="21"/>
      <c r="M6" s="21"/>
      <c r="N6" s="30"/>
      <c r="O6" s="29" t="s">
        <v>16</v>
      </c>
      <c r="P6" s="8"/>
      <c r="Q6" s="9" t="str">
        <f>Dane!A7</f>
        <v>a</v>
      </c>
      <c r="R6" s="10" t="str">
        <f>Dane!B7</f>
        <v>nieobecny</v>
      </c>
      <c r="S6" s="8"/>
      <c r="T6" s="8"/>
      <c r="U6" s="8"/>
    </row>
    <row r="7" spans="1:38" ht="15.75" thickBot="1" x14ac:dyDescent="0.3">
      <c r="A7" s="1"/>
      <c r="B7" s="1"/>
      <c r="C7" s="34"/>
      <c r="D7" s="35"/>
      <c r="E7" s="35"/>
      <c r="F7" s="35"/>
      <c r="G7" s="35"/>
      <c r="H7" s="17"/>
      <c r="I7" s="28" t="s">
        <v>17</v>
      </c>
      <c r="J7" s="113">
        <v>8</v>
      </c>
      <c r="K7" s="20" t="s">
        <v>18</v>
      </c>
      <c r="L7" s="21"/>
      <c r="M7" s="21"/>
      <c r="N7" s="30"/>
      <c r="O7" s="20" t="s">
        <v>18</v>
      </c>
      <c r="P7" s="8"/>
      <c r="Q7" s="9" t="str">
        <f>Dane!A8</f>
        <v>op</v>
      </c>
      <c r="R7" s="10" t="str">
        <f>Dane!B8</f>
        <v>opieka nad zdrowym dzieckiem</v>
      </c>
      <c r="S7" s="8"/>
      <c r="T7" s="8"/>
      <c r="U7" s="8"/>
    </row>
    <row r="8" spans="1:38" ht="23.25" x14ac:dyDescent="0.35">
      <c r="A8" s="2"/>
      <c r="B8" s="2"/>
      <c r="C8" s="99" t="s">
        <v>45</v>
      </c>
      <c r="D8" s="7"/>
      <c r="E8" s="7"/>
      <c r="F8" s="100" t="str">
        <f>TEXT(DATE(H1,D1,1),"MMMM rrrr")</f>
        <v>listopad 2026</v>
      </c>
      <c r="G8" s="36"/>
      <c r="H8" s="37"/>
      <c r="I8" s="38"/>
      <c r="J8" s="39"/>
      <c r="K8" s="39"/>
      <c r="L8" s="39"/>
      <c r="M8" s="39"/>
      <c r="N8" s="40"/>
      <c r="O8" s="41"/>
      <c r="P8" s="42"/>
      <c r="Q8" s="41"/>
      <c r="R8" s="42"/>
      <c r="S8" s="41"/>
      <c r="T8" s="41"/>
      <c r="U8" s="42"/>
    </row>
    <row r="9" spans="1:38" ht="15.75" thickBot="1" x14ac:dyDescent="0.3">
      <c r="A9" s="2"/>
      <c r="B9" s="2"/>
      <c r="C9" s="43"/>
      <c r="D9" s="44" t="s">
        <v>21</v>
      </c>
      <c r="E9" s="45" t="str">
        <f>TEXT(F9,"DDDD ")</f>
        <v xml:space="preserve">niedziela </v>
      </c>
      <c r="F9" s="45">
        <f>DATE(H1,D1,1)</f>
        <v>46327</v>
      </c>
      <c r="G9" s="44" t="s">
        <v>22</v>
      </c>
      <c r="H9" s="46" t="str">
        <f>TEXT(I9,"DDDD ")</f>
        <v xml:space="preserve">poniedziałek </v>
      </c>
      <c r="I9" s="45">
        <f>DATE(YEAR(F9),MONTH(F9+31),DAY(F9))-1</f>
        <v>46356</v>
      </c>
      <c r="J9" s="47"/>
      <c r="K9" s="47"/>
      <c r="L9" s="47"/>
      <c r="M9" s="47"/>
      <c r="N9" s="30"/>
      <c r="O9" s="48"/>
      <c r="P9" s="49"/>
      <c r="Q9" s="48"/>
      <c r="R9" s="49"/>
      <c r="S9" s="48"/>
      <c r="T9" s="48"/>
      <c r="U9" s="49"/>
    </row>
    <row r="10" spans="1:38" ht="52.5" thickBot="1" x14ac:dyDescent="0.3">
      <c r="A10" s="4"/>
      <c r="B10" s="4"/>
      <c r="C10" s="50" t="s">
        <v>23</v>
      </c>
      <c r="D10" s="51"/>
      <c r="E10" s="51" t="s">
        <v>24</v>
      </c>
      <c r="F10" s="51" t="s">
        <v>25</v>
      </c>
      <c r="G10" s="51" t="s">
        <v>26</v>
      </c>
      <c r="H10" s="51" t="s">
        <v>27</v>
      </c>
      <c r="I10" s="51" t="s">
        <v>137</v>
      </c>
      <c r="J10" s="51" t="s">
        <v>28</v>
      </c>
      <c r="K10" s="51"/>
      <c r="L10" s="51" t="s">
        <v>100</v>
      </c>
      <c r="M10" s="51"/>
      <c r="N10" s="52"/>
      <c r="O10" s="114" t="s">
        <v>54</v>
      </c>
      <c r="P10" s="51" t="s">
        <v>105</v>
      </c>
      <c r="Q10" s="136" t="s">
        <v>101</v>
      </c>
      <c r="R10" s="53"/>
      <c r="S10" s="51"/>
      <c r="T10" s="114" t="s">
        <v>49</v>
      </c>
      <c r="U10" s="114" t="s">
        <v>50</v>
      </c>
      <c r="W10" t="s">
        <v>138</v>
      </c>
      <c r="X10" t="s">
        <v>139</v>
      </c>
      <c r="Y10" t="s">
        <v>140</v>
      </c>
      <c r="AF10" s="171" t="s">
        <v>152</v>
      </c>
      <c r="AG10" s="171"/>
      <c r="AH10" s="171"/>
      <c r="AI10" s="171" t="s">
        <v>153</v>
      </c>
      <c r="AJ10" s="171"/>
      <c r="AK10" s="171"/>
      <c r="AL10" s="171" t="s">
        <v>154</v>
      </c>
    </row>
    <row r="11" spans="1:38" ht="15.75" x14ac:dyDescent="0.25">
      <c r="A11" s="2">
        <f>DATE(H1,D1,1)</f>
        <v>46327</v>
      </c>
      <c r="B11" s="2">
        <f>CODE(TEXT(A11,"TTTT"))</f>
        <v>84</v>
      </c>
      <c r="C11" s="54" t="str">
        <f t="shared" ref="C11:C40" si="0">TEXT(A11,"DD.M. DDDD")</f>
        <v>01.11. niedziela</v>
      </c>
      <c r="D11" s="159" t="s">
        <v>47</v>
      </c>
      <c r="E11" s="117" t="str">
        <f>IF(D11="w","wolne",IF(D11="u","urlop",IF(D11="c","choroba",IF(D11="g","godziny",IF(D11="a","nieobecny"," ")))))</f>
        <v>wolne</v>
      </c>
      <c r="F11" s="115"/>
      <c r="G11" s="115"/>
      <c r="H11" s="55" t="str">
        <f t="shared" ref="H11:H40" si="1">IF(D11="d",(((((TRUNC(G11)-1)-TRUNC(F11))*60)+((G11-TRUNC(G11))*100)+(60-(F11-TRUNC(F11))*100))-(IF(M11&lt;przerwa1,pause,przerwa1)))/60,IF((OR((B11=83),(D11="u"),(D11="uz"),(D11="a"),(D11="c"),(D11="s"),(AND(D11="w",F11="")),(D11="oc"),(D11="um"),(D11="op"),(D11="oc"))),"",IF(OR(D11="g",AND(D11="gp",F11="")),0,TRUNC((((TRUNC(G11)*60+(G11-(TRUNC(G11)))*100)-(TRUNC(F11)*60+(F11-TRUNC(F11))*100))-(IF(M11&lt;przerwa1,pause,przerwa1)))/60)+(((((TRUNC(G11)*60+(G11-(TRUNC(G11)))*100)-(TRUNC(F11)*60+(F11-TRUNC(F11))*100))-(IF(M11&lt;przerwa1,pause,przerwa1)))/60)-TRUNC(((((TRUNC(G11)*60+(G11-(TRUNC(G11)))*100)-(TRUNC(F11)*60+(F11-TRUNC(F11))*100))-(IF(M11&lt;przerwa1,pause,przerwa1)))/60)))*60/100)))</f>
        <v/>
      </c>
      <c r="I11" s="55" t="str">
        <f t="shared" ref="I11:I40" si="2">IF(AND(D11="gp",F11=""),-(TRUNC(godz/1.5)+((godz/1.5)-TRUNC(godz/1.5))*60/100),IF(AND(D11="gp",F11&lt;&gt;"",G11&lt;&gt;""),ROUND(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+(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-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)*60/100,2),IF(OR((B11=83),(D11="w"),(D11="s"),(D11="c"),(D11="a"),(D11="oc"),(D11="um"),(D11="op"),(D11="uz"),(D11="u")),"",ROUND((TRUNC(H11-godz)+(((TRUNC(H11)*60)+(H11-TRUNC(H11))*100)-(godz*60)-(TRUNC(H11-godz)*60))/100),2))))</f>
        <v/>
      </c>
      <c r="J11" s="56" t="str">
        <f t="shared" ref="J11:J40" si="3">IF(D11="gp",(TRUNC(I11)*60+(I11-TRUNC(I11))*100),IF(OR((I11=""),(B11=83)),"",IF((I11=0),0,TRUNC(H11-godz)*60+(((TRUNC(H11)*60)+(H11-TRUNC(H11))*100)-(godz*60)-(TRUNC(H11-godz)*60)))))</f>
        <v/>
      </c>
      <c r="K11" s="57">
        <f>IF(OR((B11=83),(D11="w")),0,1)</f>
        <v>0</v>
      </c>
      <c r="L11" s="57">
        <f>IF(OR((D11="c"),(D11="u"),(D11="uz"),(D11="um"),(D11="op"),(D11="oc"),(D11="s")),1,0)</f>
        <v>0</v>
      </c>
      <c r="M11" s="58" t="str">
        <f t="shared" ref="M11:M40" si="4">IF(((((((TRUNC(G11)-1)-TRUNC(F11))*60)+((G11-TRUNC(G11))*100)+(60-(F11-TRUNC(F11))*100)))/100)&lt;pause2,"przerwa1","pause")</f>
        <v>przerwa1</v>
      </c>
      <c r="N11" s="57">
        <f>IF(OR((B11=83),(D11="w"),(D11="g"),(D11="c"),(D11="u"),(D11="uz"),(D11="op"),(D11="oc")),0,1)</f>
        <v>0</v>
      </c>
      <c r="O11" s="137"/>
      <c r="P11" s="149"/>
      <c r="Q11" s="137"/>
      <c r="R11" s="8"/>
      <c r="S11" s="60" t="str">
        <f t="shared" ref="S11:S41" si="5">IF(H11&lt;&gt;"",IF(D11="w",((TRUNC(H11)*60)+(H11-TRUNC(H11))*100),((TRUNC(H11)*60+(H11-TRUNC(H11))*100)-pause2*60-O11))," ")</f>
        <v xml:space="preserve"> </v>
      </c>
      <c r="T11" s="60" t="str">
        <f>IF(S11&gt;0,S11," ")</f>
        <v xml:space="preserve"> </v>
      </c>
      <c r="U11" s="60" t="str">
        <f>IF(S11&lt;0,S11," ")</f>
        <v xml:space="preserve"> </v>
      </c>
      <c r="W11">
        <f>IF(H11="",0,TRUNC(H11)*60)</f>
        <v>0</v>
      </c>
      <c r="X11">
        <f>IF(H11="",0,ROUND((H11-TRUNC(H11))*100,0)-O11)</f>
        <v>0</v>
      </c>
      <c r="Y11">
        <f>IF(D11="gp",(TRUNC(I11)*60+(I11-TRUNC(I11))*100),(IF(D11="g",(TRUNC(I11)*60+(I11-TRUNC(I11))*100),W11+X11)))</f>
        <v>0</v>
      </c>
      <c r="AD11" s="158">
        <f t="shared" ref="AD11:AD12" si="6">TRUNC(F11)</f>
        <v>0</v>
      </c>
      <c r="AE11" s="158">
        <f t="shared" ref="AE11:AE12" si="7">F11-TRUNC(F11)</f>
        <v>0</v>
      </c>
      <c r="AF11" s="64" t="str">
        <f t="shared" ref="AF11:AF12" si="8">IF(F11&lt;&gt;0,AD11+(AE11/0.6)," ")</f>
        <v xml:space="preserve"> </v>
      </c>
      <c r="AG11" s="169">
        <f t="shared" ref="AG11:AG12" si="9">TRUNC(G11)</f>
        <v>0</v>
      </c>
      <c r="AH11" s="169">
        <f t="shared" ref="AH11:AH12" si="10">G11-TRUNC(G11)</f>
        <v>0</v>
      </c>
      <c r="AI11" s="64" t="str">
        <f t="shared" ref="AI11:AI12" si="11">IF(G11&lt;&gt;0,AG11+(AH11/0.6)," ")</f>
        <v xml:space="preserve"> </v>
      </c>
      <c r="AJ11" s="169" t="str">
        <f t="shared" ref="AJ11:AJ12" si="12">IF(H11&lt;&gt;"",TRUNC(H11),"")</f>
        <v/>
      </c>
      <c r="AK11" s="169" t="str">
        <f t="shared" ref="AK11:AK13" si="13">IF(H11&lt;&gt;"",H11-AJ11,"")</f>
        <v/>
      </c>
      <c r="AL11" s="64" t="str">
        <f t="shared" ref="AL11:AL12" si="14">IF(H11&lt;&gt;"",AJ11+(AK11/0.6)," ")</f>
        <v xml:space="preserve"> </v>
      </c>
    </row>
    <row r="12" spans="1:38" ht="15.75" x14ac:dyDescent="0.25">
      <c r="A12" s="2">
        <f>(A11+1)</f>
        <v>46328</v>
      </c>
      <c r="B12" s="2">
        <f t="shared" ref="B12:B41" si="15">CODE(TEXT(A12,"TTTT"))</f>
        <v>84</v>
      </c>
      <c r="C12" s="54" t="str">
        <f t="shared" si="0"/>
        <v>02.11. poniedziałek</v>
      </c>
      <c r="D12" s="159"/>
      <c r="E12" s="117" t="str">
        <f t="shared" ref="E12:E40" si="16">IF(D12="w","wolne",IF(D12="u","urlop",IF(D12="c","choroba",IF(D12="g","godziny",IF(D12="a","nieobecny"," ")))))</f>
        <v xml:space="preserve"> </v>
      </c>
      <c r="F12" s="115">
        <v>8</v>
      </c>
      <c r="G12" s="115">
        <v>16</v>
      </c>
      <c r="H12" s="55">
        <f t="shared" si="1"/>
        <v>8</v>
      </c>
      <c r="I12" s="55">
        <f t="shared" si="2"/>
        <v>0</v>
      </c>
      <c r="J12" s="56">
        <f t="shared" si="3"/>
        <v>0</v>
      </c>
      <c r="K12" s="57">
        <f>IF(OR((B12=83),(D12="w")),0,1)</f>
        <v>1</v>
      </c>
      <c r="L12" s="57">
        <f t="shared" ref="L12:L40" si="17">IF(OR((D12="c"),(D12="u"),(D12="uz"),(D12="um"),(D12="op"),(D12="oc"),(D12="s")),1,0)</f>
        <v>0</v>
      </c>
      <c r="M12" s="58" t="str">
        <f t="shared" si="4"/>
        <v>przerwa1</v>
      </c>
      <c r="N12" s="57">
        <f t="shared" ref="N12:N40" si="18">IF(OR((B12=83),(D12="w"),(D12="g"),(D12="c"),(D12="u"),(D12="uz"),(D12="op"),(D12="oc")),0,1)</f>
        <v>1</v>
      </c>
      <c r="O12" s="138"/>
      <c r="P12" s="149"/>
      <c r="Q12" s="138"/>
      <c r="R12" s="8"/>
      <c r="S12" s="60">
        <f t="shared" si="5"/>
        <v>0</v>
      </c>
      <c r="T12" s="60" t="str">
        <f t="shared" ref="T12:T41" si="19">IF(S12&gt;0,S12," ")</f>
        <v xml:space="preserve"> </v>
      </c>
      <c r="U12" s="60" t="str">
        <f t="shared" ref="U12:U41" si="20">IF(S12&lt;0,S12," ")</f>
        <v xml:space="preserve"> </v>
      </c>
      <c r="W12">
        <f t="shared" ref="W12:W41" si="21">IF(H12="",0,TRUNC(H12)*60)</f>
        <v>480</v>
      </c>
      <c r="X12">
        <f t="shared" ref="X12:X41" si="22">IF(H12="",0,ROUND((H12-TRUNC(H12))*100,0)-O12)</f>
        <v>0</v>
      </c>
      <c r="Y12">
        <f t="shared" ref="Y12:Y41" si="23">IF(D12="gp",(TRUNC(I12)*60+(I12-TRUNC(I12))*100),(IF(D12="g",(TRUNC(I12)*60+(I12-TRUNC(I12))*100),W12+X12)))</f>
        <v>480</v>
      </c>
      <c r="AD12" s="158">
        <f t="shared" si="6"/>
        <v>8</v>
      </c>
      <c r="AE12" s="158">
        <f t="shared" si="7"/>
        <v>0</v>
      </c>
      <c r="AF12" s="64">
        <f t="shared" si="8"/>
        <v>8</v>
      </c>
      <c r="AG12" s="169">
        <f t="shared" si="9"/>
        <v>16</v>
      </c>
      <c r="AH12" s="169">
        <f t="shared" si="10"/>
        <v>0</v>
      </c>
      <c r="AI12" s="64">
        <f t="shared" si="11"/>
        <v>16</v>
      </c>
      <c r="AJ12" s="169">
        <f t="shared" si="12"/>
        <v>8</v>
      </c>
      <c r="AK12" s="169">
        <f t="shared" si="13"/>
        <v>0</v>
      </c>
      <c r="AL12" s="64">
        <f t="shared" si="14"/>
        <v>8</v>
      </c>
    </row>
    <row r="13" spans="1:38" ht="15.75" x14ac:dyDescent="0.25">
      <c r="A13" s="2">
        <f t="shared" ref="A13:A41" si="24">(A12+1)</f>
        <v>46329</v>
      </c>
      <c r="B13" s="2">
        <f t="shared" si="15"/>
        <v>84</v>
      </c>
      <c r="C13" s="54" t="str">
        <f t="shared" si="0"/>
        <v>03.11. wtorek</v>
      </c>
      <c r="D13" s="159"/>
      <c r="E13" s="117" t="str">
        <f t="shared" si="16"/>
        <v xml:space="preserve"> </v>
      </c>
      <c r="F13" s="115">
        <v>8</v>
      </c>
      <c r="G13" s="115">
        <v>16</v>
      </c>
      <c r="H13" s="55">
        <f t="shared" si="1"/>
        <v>8</v>
      </c>
      <c r="I13" s="55">
        <f t="shared" si="2"/>
        <v>0</v>
      </c>
      <c r="J13" s="56">
        <f t="shared" si="3"/>
        <v>0</v>
      </c>
      <c r="K13" s="57">
        <f>IF(OR((B13=83),(D13="w")),0,1)</f>
        <v>1</v>
      </c>
      <c r="L13" s="57">
        <f t="shared" si="17"/>
        <v>0</v>
      </c>
      <c r="M13" s="58" t="str">
        <f t="shared" si="4"/>
        <v>przerwa1</v>
      </c>
      <c r="N13" s="57">
        <f t="shared" si="18"/>
        <v>1</v>
      </c>
      <c r="O13" s="138"/>
      <c r="P13" s="149"/>
      <c r="Q13" s="138"/>
      <c r="R13" s="8"/>
      <c r="S13" s="60">
        <f t="shared" si="5"/>
        <v>0</v>
      </c>
      <c r="T13" s="60" t="str">
        <f t="shared" si="19"/>
        <v xml:space="preserve"> </v>
      </c>
      <c r="U13" s="60" t="str">
        <f t="shared" si="20"/>
        <v xml:space="preserve"> </v>
      </c>
      <c r="W13">
        <f t="shared" si="21"/>
        <v>480</v>
      </c>
      <c r="X13">
        <f t="shared" si="22"/>
        <v>0</v>
      </c>
      <c r="Y13">
        <f t="shared" si="23"/>
        <v>480</v>
      </c>
      <c r="AD13" s="158">
        <f>TRUNC(F13)</f>
        <v>8</v>
      </c>
      <c r="AE13" s="158">
        <f>F13-TRUNC(F13)</f>
        <v>0</v>
      </c>
      <c r="AF13" s="64">
        <f>IF(F13&lt;&gt;0,AD13+(AE13/0.6)," ")</f>
        <v>8</v>
      </c>
      <c r="AG13" s="169">
        <f>TRUNC(G13)</f>
        <v>16</v>
      </c>
      <c r="AH13" s="169">
        <f>G13-TRUNC(G13)</f>
        <v>0</v>
      </c>
      <c r="AI13" s="64">
        <f>IF(G13&lt;&gt;0,AG13+(AH13/0.6)," ")</f>
        <v>16</v>
      </c>
      <c r="AJ13" s="169">
        <f>IF(H13&lt;&gt;"",TRUNC(H13),"")</f>
        <v>8</v>
      </c>
      <c r="AK13" s="169">
        <f t="shared" si="13"/>
        <v>0</v>
      </c>
      <c r="AL13" s="64">
        <f>IF(H13&lt;&gt;"",AJ13+(AK13/0.6)," ")</f>
        <v>8</v>
      </c>
    </row>
    <row r="14" spans="1:38" ht="15.75" x14ac:dyDescent="0.25">
      <c r="A14" s="2">
        <f t="shared" si="24"/>
        <v>46330</v>
      </c>
      <c r="B14" s="2">
        <f t="shared" si="15"/>
        <v>84</v>
      </c>
      <c r="C14" s="54" t="str">
        <f t="shared" si="0"/>
        <v>04.11. środa</v>
      </c>
      <c r="D14" s="159"/>
      <c r="E14" s="117" t="str">
        <f t="shared" si="16"/>
        <v xml:space="preserve"> </v>
      </c>
      <c r="F14" s="115">
        <v>8</v>
      </c>
      <c r="G14" s="115">
        <v>16</v>
      </c>
      <c r="H14" s="55">
        <f t="shared" si="1"/>
        <v>8</v>
      </c>
      <c r="I14" s="55">
        <f t="shared" si="2"/>
        <v>0</v>
      </c>
      <c r="J14" s="56">
        <f t="shared" si="3"/>
        <v>0</v>
      </c>
      <c r="K14" s="57">
        <f>IF(OR((B14=83),(D14="w")),0,1)</f>
        <v>1</v>
      </c>
      <c r="L14" s="57">
        <f t="shared" si="17"/>
        <v>0</v>
      </c>
      <c r="M14" s="58" t="str">
        <f t="shared" si="4"/>
        <v>przerwa1</v>
      </c>
      <c r="N14" s="57">
        <f t="shared" si="18"/>
        <v>1</v>
      </c>
      <c r="O14" s="138"/>
      <c r="P14" s="149"/>
      <c r="Q14" s="138"/>
      <c r="R14" s="8"/>
      <c r="S14" s="60">
        <f t="shared" si="5"/>
        <v>0</v>
      </c>
      <c r="T14" s="60" t="str">
        <f t="shared" si="19"/>
        <v xml:space="preserve"> </v>
      </c>
      <c r="U14" s="60" t="str">
        <f t="shared" si="20"/>
        <v xml:space="preserve"> </v>
      </c>
      <c r="W14">
        <f t="shared" si="21"/>
        <v>480</v>
      </c>
      <c r="X14">
        <f t="shared" si="22"/>
        <v>0</v>
      </c>
      <c r="Y14">
        <f t="shared" si="23"/>
        <v>480</v>
      </c>
      <c r="AD14" s="158">
        <f t="shared" ref="AD14:AD41" si="25">TRUNC(F14)</f>
        <v>8</v>
      </c>
      <c r="AE14" s="158">
        <f t="shared" ref="AE14:AE41" si="26">F14-TRUNC(F14)</f>
        <v>0</v>
      </c>
      <c r="AF14" s="64">
        <f t="shared" ref="AF14:AF41" si="27">IF(F14&lt;&gt;0,AD14+(AE14/0.6)," ")</f>
        <v>8</v>
      </c>
      <c r="AG14" s="169">
        <f t="shared" ref="AG14:AG41" si="28">TRUNC(G14)</f>
        <v>16</v>
      </c>
      <c r="AH14" s="169">
        <f t="shared" ref="AH14:AH41" si="29">G14-TRUNC(G14)</f>
        <v>0</v>
      </c>
      <c r="AI14" s="64">
        <f t="shared" ref="AI14:AI41" si="30">IF(G14&lt;&gt;0,AG14+(AH14/0.6)," ")</f>
        <v>16</v>
      </c>
      <c r="AJ14" s="169">
        <f t="shared" ref="AJ14:AJ41" si="31">IF(H14&lt;&gt;"",TRUNC(H14),"")</f>
        <v>8</v>
      </c>
      <c r="AK14" s="169">
        <f t="shared" ref="AK14:AK41" si="32">IF(H14&lt;&gt;"",H14-AJ14,"")</f>
        <v>0</v>
      </c>
      <c r="AL14" s="64">
        <f t="shared" ref="AL14:AL41" si="33">IF(H14&lt;&gt;"",AJ14+(AK14/0.6)," ")</f>
        <v>8</v>
      </c>
    </row>
    <row r="15" spans="1:38" ht="15.75" x14ac:dyDescent="0.25">
      <c r="A15" s="2">
        <f t="shared" si="24"/>
        <v>46331</v>
      </c>
      <c r="B15" s="2">
        <f t="shared" si="15"/>
        <v>84</v>
      </c>
      <c r="C15" s="54" t="str">
        <f t="shared" si="0"/>
        <v>05.11. czwartek</v>
      </c>
      <c r="D15" s="159"/>
      <c r="E15" s="117" t="str">
        <f t="shared" si="16"/>
        <v xml:space="preserve"> </v>
      </c>
      <c r="F15" s="115">
        <v>8</v>
      </c>
      <c r="G15" s="115">
        <v>16</v>
      </c>
      <c r="H15" s="55">
        <f t="shared" si="1"/>
        <v>8</v>
      </c>
      <c r="I15" s="55">
        <f t="shared" si="2"/>
        <v>0</v>
      </c>
      <c r="J15" s="56">
        <f t="shared" si="3"/>
        <v>0</v>
      </c>
      <c r="K15" s="57">
        <f t="shared" ref="K15:K42" si="34">IF(OR((B15=83),(D15="w")),0,1)</f>
        <v>1</v>
      </c>
      <c r="L15" s="57">
        <f t="shared" si="17"/>
        <v>0</v>
      </c>
      <c r="M15" s="58" t="str">
        <f t="shared" si="4"/>
        <v>przerwa1</v>
      </c>
      <c r="N15" s="57">
        <f t="shared" si="18"/>
        <v>1</v>
      </c>
      <c r="O15" s="138"/>
      <c r="P15" s="149"/>
      <c r="Q15" s="138"/>
      <c r="R15" s="8"/>
      <c r="S15" s="60">
        <f t="shared" si="5"/>
        <v>0</v>
      </c>
      <c r="T15" s="60" t="str">
        <f t="shared" si="19"/>
        <v xml:space="preserve"> </v>
      </c>
      <c r="U15" s="60" t="str">
        <f t="shared" si="20"/>
        <v xml:space="preserve"> </v>
      </c>
      <c r="W15">
        <f t="shared" si="21"/>
        <v>480</v>
      </c>
      <c r="X15">
        <f t="shared" si="22"/>
        <v>0</v>
      </c>
      <c r="Y15">
        <f t="shared" si="23"/>
        <v>480</v>
      </c>
      <c r="AD15" s="158">
        <f t="shared" si="25"/>
        <v>8</v>
      </c>
      <c r="AE15" s="158">
        <f t="shared" si="26"/>
        <v>0</v>
      </c>
      <c r="AF15" s="64">
        <f t="shared" si="27"/>
        <v>8</v>
      </c>
      <c r="AG15" s="169">
        <f t="shared" si="28"/>
        <v>16</v>
      </c>
      <c r="AH15" s="169">
        <f t="shared" si="29"/>
        <v>0</v>
      </c>
      <c r="AI15" s="64">
        <f t="shared" si="30"/>
        <v>16</v>
      </c>
      <c r="AJ15" s="169">
        <f t="shared" si="31"/>
        <v>8</v>
      </c>
      <c r="AK15" s="169">
        <f t="shared" si="32"/>
        <v>0</v>
      </c>
      <c r="AL15" s="64">
        <f t="shared" si="33"/>
        <v>8</v>
      </c>
    </row>
    <row r="16" spans="1:38" ht="15.75" x14ac:dyDescent="0.25">
      <c r="A16" s="2">
        <f t="shared" si="24"/>
        <v>46332</v>
      </c>
      <c r="B16" s="2">
        <f t="shared" si="15"/>
        <v>84</v>
      </c>
      <c r="C16" s="54" t="str">
        <f t="shared" si="0"/>
        <v>06.11. piątek</v>
      </c>
      <c r="D16" s="159"/>
      <c r="E16" s="117" t="str">
        <f t="shared" si="16"/>
        <v xml:space="preserve"> </v>
      </c>
      <c r="F16" s="115">
        <v>8</v>
      </c>
      <c r="G16" s="115">
        <v>16</v>
      </c>
      <c r="H16" s="55">
        <f t="shared" si="1"/>
        <v>8</v>
      </c>
      <c r="I16" s="55">
        <f t="shared" si="2"/>
        <v>0</v>
      </c>
      <c r="J16" s="56">
        <f t="shared" si="3"/>
        <v>0</v>
      </c>
      <c r="K16" s="57">
        <f t="shared" si="34"/>
        <v>1</v>
      </c>
      <c r="L16" s="57">
        <f t="shared" si="17"/>
        <v>0</v>
      </c>
      <c r="M16" s="58" t="str">
        <f t="shared" si="4"/>
        <v>przerwa1</v>
      </c>
      <c r="N16" s="57">
        <f t="shared" si="18"/>
        <v>1</v>
      </c>
      <c r="O16" s="138"/>
      <c r="P16" s="149"/>
      <c r="Q16" s="138"/>
      <c r="R16" s="8"/>
      <c r="S16" s="60">
        <f t="shared" si="5"/>
        <v>0</v>
      </c>
      <c r="T16" s="60" t="str">
        <f t="shared" si="19"/>
        <v xml:space="preserve"> </v>
      </c>
      <c r="U16" s="60" t="str">
        <f t="shared" si="20"/>
        <v xml:space="preserve"> </v>
      </c>
      <c r="W16">
        <f t="shared" si="21"/>
        <v>480</v>
      </c>
      <c r="X16">
        <f t="shared" si="22"/>
        <v>0</v>
      </c>
      <c r="Y16">
        <f t="shared" si="23"/>
        <v>480</v>
      </c>
      <c r="AD16" s="158">
        <f t="shared" si="25"/>
        <v>8</v>
      </c>
      <c r="AE16" s="158">
        <f t="shared" si="26"/>
        <v>0</v>
      </c>
      <c r="AF16" s="64">
        <f t="shared" si="27"/>
        <v>8</v>
      </c>
      <c r="AG16" s="169">
        <f t="shared" si="28"/>
        <v>16</v>
      </c>
      <c r="AH16" s="169">
        <f t="shared" si="29"/>
        <v>0</v>
      </c>
      <c r="AI16" s="64">
        <f t="shared" si="30"/>
        <v>16</v>
      </c>
      <c r="AJ16" s="169">
        <f t="shared" si="31"/>
        <v>8</v>
      </c>
      <c r="AK16" s="169">
        <f t="shared" si="32"/>
        <v>0</v>
      </c>
      <c r="AL16" s="64">
        <f t="shared" si="33"/>
        <v>8</v>
      </c>
    </row>
    <row r="17" spans="1:38" ht="15.75" x14ac:dyDescent="0.25">
      <c r="A17" s="2">
        <f t="shared" si="24"/>
        <v>46333</v>
      </c>
      <c r="B17" s="2">
        <f t="shared" si="15"/>
        <v>84</v>
      </c>
      <c r="C17" s="54" t="str">
        <f t="shared" si="0"/>
        <v>07.11. sobota</v>
      </c>
      <c r="D17" s="159" t="s">
        <v>47</v>
      </c>
      <c r="E17" s="117" t="str">
        <f t="shared" si="16"/>
        <v>wolne</v>
      </c>
      <c r="F17" s="115"/>
      <c r="G17" s="115"/>
      <c r="H17" s="55" t="str">
        <f t="shared" si="1"/>
        <v/>
      </c>
      <c r="I17" s="55" t="str">
        <f t="shared" si="2"/>
        <v/>
      </c>
      <c r="J17" s="56" t="str">
        <f t="shared" si="3"/>
        <v/>
      </c>
      <c r="K17" s="57">
        <f t="shared" si="34"/>
        <v>0</v>
      </c>
      <c r="L17" s="57">
        <f t="shared" si="17"/>
        <v>0</v>
      </c>
      <c r="M17" s="58" t="str">
        <f t="shared" si="4"/>
        <v>przerwa1</v>
      </c>
      <c r="N17" s="57">
        <f t="shared" si="18"/>
        <v>0</v>
      </c>
      <c r="O17" s="138"/>
      <c r="P17" s="149"/>
      <c r="Q17" s="138"/>
      <c r="R17" s="8"/>
      <c r="S17" s="60" t="str">
        <f t="shared" si="5"/>
        <v xml:space="preserve"> </v>
      </c>
      <c r="T17" s="60" t="str">
        <f t="shared" si="19"/>
        <v xml:space="preserve"> </v>
      </c>
      <c r="U17" s="60" t="str">
        <f t="shared" si="20"/>
        <v xml:space="preserve"> </v>
      </c>
      <c r="W17">
        <f t="shared" si="21"/>
        <v>0</v>
      </c>
      <c r="X17">
        <f t="shared" si="22"/>
        <v>0</v>
      </c>
      <c r="Y17">
        <f t="shared" si="23"/>
        <v>0</v>
      </c>
      <c r="AD17" s="158">
        <f t="shared" si="25"/>
        <v>0</v>
      </c>
      <c r="AE17" s="158">
        <f t="shared" si="26"/>
        <v>0</v>
      </c>
      <c r="AF17" s="64" t="str">
        <f t="shared" si="27"/>
        <v xml:space="preserve"> </v>
      </c>
      <c r="AG17" s="169">
        <f t="shared" si="28"/>
        <v>0</v>
      </c>
      <c r="AH17" s="169">
        <f t="shared" si="29"/>
        <v>0</v>
      </c>
      <c r="AI17" s="64" t="str">
        <f t="shared" si="30"/>
        <v xml:space="preserve"> </v>
      </c>
      <c r="AJ17" s="169" t="str">
        <f t="shared" si="31"/>
        <v/>
      </c>
      <c r="AK17" s="169" t="str">
        <f t="shared" si="32"/>
        <v/>
      </c>
      <c r="AL17" s="64" t="str">
        <f t="shared" si="33"/>
        <v xml:space="preserve"> </v>
      </c>
    </row>
    <row r="18" spans="1:38" ht="15.75" x14ac:dyDescent="0.25">
      <c r="A18" s="2">
        <f t="shared" si="24"/>
        <v>46334</v>
      </c>
      <c r="B18" s="2">
        <f t="shared" si="15"/>
        <v>84</v>
      </c>
      <c r="C18" s="54" t="str">
        <f t="shared" si="0"/>
        <v>08.11. niedziela</v>
      </c>
      <c r="D18" s="159" t="s">
        <v>47</v>
      </c>
      <c r="E18" s="117" t="str">
        <f t="shared" si="16"/>
        <v>wolne</v>
      </c>
      <c r="F18" s="115"/>
      <c r="G18" s="115"/>
      <c r="H18" s="55" t="str">
        <f t="shared" si="1"/>
        <v/>
      </c>
      <c r="I18" s="55" t="str">
        <f t="shared" si="2"/>
        <v/>
      </c>
      <c r="J18" s="56" t="str">
        <f t="shared" si="3"/>
        <v/>
      </c>
      <c r="K18" s="57">
        <f t="shared" si="34"/>
        <v>0</v>
      </c>
      <c r="L18" s="57">
        <f t="shared" si="17"/>
        <v>0</v>
      </c>
      <c r="M18" s="58" t="str">
        <f t="shared" si="4"/>
        <v>przerwa1</v>
      </c>
      <c r="N18" s="57">
        <f t="shared" si="18"/>
        <v>0</v>
      </c>
      <c r="O18" s="138"/>
      <c r="P18" s="149"/>
      <c r="Q18" s="138"/>
      <c r="R18" s="8"/>
      <c r="S18" s="60" t="str">
        <f t="shared" si="5"/>
        <v xml:space="preserve"> </v>
      </c>
      <c r="T18" s="60" t="str">
        <f t="shared" si="19"/>
        <v xml:space="preserve"> </v>
      </c>
      <c r="U18" s="60" t="str">
        <f t="shared" si="20"/>
        <v xml:space="preserve"> </v>
      </c>
      <c r="W18">
        <f t="shared" si="21"/>
        <v>0</v>
      </c>
      <c r="X18">
        <f t="shared" si="22"/>
        <v>0</v>
      </c>
      <c r="Y18">
        <f t="shared" si="23"/>
        <v>0</v>
      </c>
      <c r="AD18" s="158">
        <f t="shared" si="25"/>
        <v>0</v>
      </c>
      <c r="AE18" s="158">
        <f t="shared" si="26"/>
        <v>0</v>
      </c>
      <c r="AF18" s="64" t="str">
        <f t="shared" si="27"/>
        <v xml:space="preserve"> </v>
      </c>
      <c r="AG18" s="169">
        <f t="shared" si="28"/>
        <v>0</v>
      </c>
      <c r="AH18" s="169">
        <f t="shared" si="29"/>
        <v>0</v>
      </c>
      <c r="AI18" s="64" t="str">
        <f t="shared" si="30"/>
        <v xml:space="preserve"> </v>
      </c>
      <c r="AJ18" s="169" t="str">
        <f t="shared" si="31"/>
        <v/>
      </c>
      <c r="AK18" s="169" t="str">
        <f t="shared" si="32"/>
        <v/>
      </c>
      <c r="AL18" s="64" t="str">
        <f t="shared" si="33"/>
        <v xml:space="preserve"> </v>
      </c>
    </row>
    <row r="19" spans="1:38" ht="15.75" x14ac:dyDescent="0.25">
      <c r="A19" s="2">
        <f t="shared" si="24"/>
        <v>46335</v>
      </c>
      <c r="B19" s="2">
        <f t="shared" si="15"/>
        <v>84</v>
      </c>
      <c r="C19" s="54" t="str">
        <f t="shared" si="0"/>
        <v>09.11. poniedziałek</v>
      </c>
      <c r="D19" s="159"/>
      <c r="E19" s="117" t="str">
        <f t="shared" si="16"/>
        <v xml:space="preserve"> </v>
      </c>
      <c r="F19" s="115">
        <v>8</v>
      </c>
      <c r="G19" s="115">
        <v>16</v>
      </c>
      <c r="H19" s="55">
        <f t="shared" si="1"/>
        <v>8</v>
      </c>
      <c r="I19" s="55">
        <f t="shared" si="2"/>
        <v>0</v>
      </c>
      <c r="J19" s="56">
        <f t="shared" si="3"/>
        <v>0</v>
      </c>
      <c r="K19" s="57">
        <f t="shared" si="34"/>
        <v>1</v>
      </c>
      <c r="L19" s="57">
        <f t="shared" si="17"/>
        <v>0</v>
      </c>
      <c r="M19" s="58" t="str">
        <f t="shared" si="4"/>
        <v>przerwa1</v>
      </c>
      <c r="N19" s="57">
        <f t="shared" si="18"/>
        <v>1</v>
      </c>
      <c r="O19" s="138"/>
      <c r="P19" s="149"/>
      <c r="Q19" s="138"/>
      <c r="R19" s="8"/>
      <c r="S19" s="60">
        <f t="shared" si="5"/>
        <v>0</v>
      </c>
      <c r="T19" s="60" t="str">
        <f t="shared" si="19"/>
        <v xml:space="preserve"> </v>
      </c>
      <c r="U19" s="60" t="str">
        <f t="shared" si="20"/>
        <v xml:space="preserve"> </v>
      </c>
      <c r="W19">
        <f t="shared" si="21"/>
        <v>480</v>
      </c>
      <c r="X19">
        <f t="shared" si="22"/>
        <v>0</v>
      </c>
      <c r="Y19">
        <f t="shared" si="23"/>
        <v>480</v>
      </c>
      <c r="AD19" s="158">
        <f t="shared" si="25"/>
        <v>8</v>
      </c>
      <c r="AE19" s="158">
        <f t="shared" si="26"/>
        <v>0</v>
      </c>
      <c r="AF19" s="64">
        <f t="shared" si="27"/>
        <v>8</v>
      </c>
      <c r="AG19" s="169">
        <f t="shared" si="28"/>
        <v>16</v>
      </c>
      <c r="AH19" s="169">
        <f t="shared" si="29"/>
        <v>0</v>
      </c>
      <c r="AI19" s="64">
        <f t="shared" si="30"/>
        <v>16</v>
      </c>
      <c r="AJ19" s="169">
        <f t="shared" si="31"/>
        <v>8</v>
      </c>
      <c r="AK19" s="169">
        <f t="shared" si="32"/>
        <v>0</v>
      </c>
      <c r="AL19" s="64">
        <f t="shared" si="33"/>
        <v>8</v>
      </c>
    </row>
    <row r="20" spans="1:38" ht="15.75" x14ac:dyDescent="0.25">
      <c r="A20" s="2">
        <f t="shared" si="24"/>
        <v>46336</v>
      </c>
      <c r="B20" s="2">
        <f t="shared" si="15"/>
        <v>84</v>
      </c>
      <c r="C20" s="54" t="str">
        <f t="shared" si="0"/>
        <v>10.11. wtorek</v>
      </c>
      <c r="D20" s="159"/>
      <c r="E20" s="117" t="str">
        <f t="shared" si="16"/>
        <v xml:space="preserve"> </v>
      </c>
      <c r="F20" s="115">
        <v>8</v>
      </c>
      <c r="G20" s="115">
        <v>16</v>
      </c>
      <c r="H20" s="55">
        <f t="shared" si="1"/>
        <v>8</v>
      </c>
      <c r="I20" s="55">
        <f t="shared" si="2"/>
        <v>0</v>
      </c>
      <c r="J20" s="56">
        <f t="shared" si="3"/>
        <v>0</v>
      </c>
      <c r="K20" s="57">
        <f t="shared" si="34"/>
        <v>1</v>
      </c>
      <c r="L20" s="57">
        <f t="shared" si="17"/>
        <v>0</v>
      </c>
      <c r="M20" s="58" t="str">
        <f t="shared" si="4"/>
        <v>przerwa1</v>
      </c>
      <c r="N20" s="57">
        <f t="shared" si="18"/>
        <v>1</v>
      </c>
      <c r="O20" s="138"/>
      <c r="P20" s="149"/>
      <c r="Q20" s="138"/>
      <c r="R20" s="8"/>
      <c r="S20" s="60">
        <f t="shared" si="5"/>
        <v>0</v>
      </c>
      <c r="T20" s="60" t="str">
        <f t="shared" si="19"/>
        <v xml:space="preserve"> </v>
      </c>
      <c r="U20" s="60" t="str">
        <f t="shared" si="20"/>
        <v xml:space="preserve"> </v>
      </c>
      <c r="W20">
        <f t="shared" si="21"/>
        <v>480</v>
      </c>
      <c r="X20">
        <f t="shared" si="22"/>
        <v>0</v>
      </c>
      <c r="Y20">
        <f t="shared" si="23"/>
        <v>480</v>
      </c>
      <c r="AD20" s="158">
        <f t="shared" si="25"/>
        <v>8</v>
      </c>
      <c r="AE20" s="158">
        <f t="shared" si="26"/>
        <v>0</v>
      </c>
      <c r="AF20" s="64">
        <f t="shared" si="27"/>
        <v>8</v>
      </c>
      <c r="AG20" s="169">
        <f t="shared" si="28"/>
        <v>16</v>
      </c>
      <c r="AH20" s="169">
        <f t="shared" si="29"/>
        <v>0</v>
      </c>
      <c r="AI20" s="64">
        <f t="shared" si="30"/>
        <v>16</v>
      </c>
      <c r="AJ20" s="169">
        <f t="shared" si="31"/>
        <v>8</v>
      </c>
      <c r="AK20" s="169">
        <f>IF(H20&lt;&gt;"",H20-AJ20,"")</f>
        <v>0</v>
      </c>
      <c r="AL20" s="64">
        <f t="shared" si="33"/>
        <v>8</v>
      </c>
    </row>
    <row r="21" spans="1:38" ht="15.75" x14ac:dyDescent="0.25">
      <c r="A21" s="2">
        <f t="shared" si="24"/>
        <v>46337</v>
      </c>
      <c r="B21" s="2">
        <f t="shared" si="15"/>
        <v>84</v>
      </c>
      <c r="C21" s="54" t="str">
        <f t="shared" si="0"/>
        <v>11.11. środa</v>
      </c>
      <c r="D21" s="159" t="s">
        <v>47</v>
      </c>
      <c r="E21" s="117" t="str">
        <f t="shared" si="16"/>
        <v>wolne</v>
      </c>
      <c r="F21" s="115"/>
      <c r="G21" s="115"/>
      <c r="H21" s="55" t="str">
        <f t="shared" si="1"/>
        <v/>
      </c>
      <c r="I21" s="55" t="str">
        <f t="shared" si="2"/>
        <v/>
      </c>
      <c r="J21" s="56" t="str">
        <f t="shared" si="3"/>
        <v/>
      </c>
      <c r="K21" s="57">
        <f t="shared" si="34"/>
        <v>0</v>
      </c>
      <c r="L21" s="57">
        <f t="shared" si="17"/>
        <v>0</v>
      </c>
      <c r="M21" s="58" t="str">
        <f t="shared" si="4"/>
        <v>przerwa1</v>
      </c>
      <c r="N21" s="57">
        <f t="shared" si="18"/>
        <v>0</v>
      </c>
      <c r="O21" s="138"/>
      <c r="P21" s="149"/>
      <c r="Q21" s="138"/>
      <c r="R21" s="8"/>
      <c r="S21" s="60" t="str">
        <f t="shared" si="5"/>
        <v xml:space="preserve"> </v>
      </c>
      <c r="T21" s="60"/>
      <c r="U21" s="60" t="str">
        <f t="shared" si="20"/>
        <v xml:space="preserve"> </v>
      </c>
      <c r="W21">
        <f t="shared" si="21"/>
        <v>0</v>
      </c>
      <c r="X21">
        <f t="shared" si="22"/>
        <v>0</v>
      </c>
      <c r="Y21">
        <f t="shared" si="23"/>
        <v>0</v>
      </c>
      <c r="AD21" s="158">
        <f t="shared" si="25"/>
        <v>0</v>
      </c>
      <c r="AE21" s="158">
        <f t="shared" si="26"/>
        <v>0</v>
      </c>
      <c r="AF21" s="64" t="str">
        <f t="shared" si="27"/>
        <v xml:space="preserve"> </v>
      </c>
      <c r="AG21" s="169">
        <f t="shared" si="28"/>
        <v>0</v>
      </c>
      <c r="AH21" s="169">
        <f t="shared" si="29"/>
        <v>0</v>
      </c>
      <c r="AI21" s="64" t="str">
        <f t="shared" si="30"/>
        <v xml:space="preserve"> </v>
      </c>
      <c r="AJ21" s="169" t="str">
        <f t="shared" si="31"/>
        <v/>
      </c>
      <c r="AK21" s="169" t="str">
        <f t="shared" si="32"/>
        <v/>
      </c>
      <c r="AL21" s="64" t="str">
        <f t="shared" si="33"/>
        <v xml:space="preserve"> </v>
      </c>
    </row>
    <row r="22" spans="1:38" ht="15.75" x14ac:dyDescent="0.25">
      <c r="A22" s="2">
        <f t="shared" si="24"/>
        <v>46338</v>
      </c>
      <c r="B22" s="2">
        <f t="shared" si="15"/>
        <v>84</v>
      </c>
      <c r="C22" s="54" t="str">
        <f t="shared" si="0"/>
        <v>12.11. czwartek</v>
      </c>
      <c r="D22" s="159"/>
      <c r="E22" s="117" t="str">
        <f t="shared" si="16"/>
        <v xml:space="preserve"> </v>
      </c>
      <c r="F22" s="115">
        <v>8</v>
      </c>
      <c r="G22" s="115">
        <v>16</v>
      </c>
      <c r="H22" s="55">
        <f t="shared" si="1"/>
        <v>8</v>
      </c>
      <c r="I22" s="55">
        <f t="shared" si="2"/>
        <v>0</v>
      </c>
      <c r="J22" s="56">
        <f t="shared" si="3"/>
        <v>0</v>
      </c>
      <c r="K22" s="57">
        <f t="shared" si="34"/>
        <v>1</v>
      </c>
      <c r="L22" s="57">
        <f t="shared" si="17"/>
        <v>0</v>
      </c>
      <c r="M22" s="58" t="str">
        <f t="shared" si="4"/>
        <v>przerwa1</v>
      </c>
      <c r="N22" s="57">
        <f t="shared" si="18"/>
        <v>1</v>
      </c>
      <c r="O22" s="138"/>
      <c r="P22" s="149"/>
      <c r="Q22" s="138"/>
      <c r="R22" s="8"/>
      <c r="S22" s="60">
        <f t="shared" si="5"/>
        <v>0</v>
      </c>
      <c r="T22" s="60" t="str">
        <f t="shared" si="19"/>
        <v xml:space="preserve"> </v>
      </c>
      <c r="U22" s="60" t="str">
        <f t="shared" si="20"/>
        <v xml:space="preserve"> </v>
      </c>
      <c r="W22">
        <f t="shared" si="21"/>
        <v>480</v>
      </c>
      <c r="X22">
        <f t="shared" si="22"/>
        <v>0</v>
      </c>
      <c r="Y22">
        <f t="shared" si="23"/>
        <v>480</v>
      </c>
      <c r="AD22" s="158">
        <f t="shared" si="25"/>
        <v>8</v>
      </c>
      <c r="AE22" s="158">
        <f t="shared" si="26"/>
        <v>0</v>
      </c>
      <c r="AF22" s="64">
        <f t="shared" si="27"/>
        <v>8</v>
      </c>
      <c r="AG22" s="169">
        <f t="shared" si="28"/>
        <v>16</v>
      </c>
      <c r="AH22" s="169">
        <f t="shared" si="29"/>
        <v>0</v>
      </c>
      <c r="AI22" s="64">
        <f t="shared" si="30"/>
        <v>16</v>
      </c>
      <c r="AJ22" s="169">
        <f t="shared" si="31"/>
        <v>8</v>
      </c>
      <c r="AK22" s="169">
        <f t="shared" si="32"/>
        <v>0</v>
      </c>
      <c r="AL22" s="64">
        <f t="shared" si="33"/>
        <v>8</v>
      </c>
    </row>
    <row r="23" spans="1:38" ht="15.75" x14ac:dyDescent="0.25">
      <c r="A23" s="2">
        <f t="shared" si="24"/>
        <v>46339</v>
      </c>
      <c r="B23" s="2">
        <f t="shared" si="15"/>
        <v>84</v>
      </c>
      <c r="C23" s="54" t="str">
        <f t="shared" si="0"/>
        <v>13.11. piątek</v>
      </c>
      <c r="D23" s="159"/>
      <c r="E23" s="117" t="str">
        <f t="shared" si="16"/>
        <v xml:space="preserve"> </v>
      </c>
      <c r="F23" s="115">
        <v>8</v>
      </c>
      <c r="G23" s="115">
        <v>16</v>
      </c>
      <c r="H23" s="55">
        <f t="shared" si="1"/>
        <v>8</v>
      </c>
      <c r="I23" s="55">
        <f t="shared" si="2"/>
        <v>0</v>
      </c>
      <c r="J23" s="56">
        <f t="shared" si="3"/>
        <v>0</v>
      </c>
      <c r="K23" s="57">
        <f t="shared" si="34"/>
        <v>1</v>
      </c>
      <c r="L23" s="57">
        <f t="shared" si="17"/>
        <v>0</v>
      </c>
      <c r="M23" s="58" t="str">
        <f t="shared" si="4"/>
        <v>przerwa1</v>
      </c>
      <c r="N23" s="57">
        <f t="shared" si="18"/>
        <v>1</v>
      </c>
      <c r="O23" s="138"/>
      <c r="P23" s="149"/>
      <c r="Q23" s="138"/>
      <c r="R23" s="8"/>
      <c r="S23" s="60">
        <f t="shared" si="5"/>
        <v>0</v>
      </c>
      <c r="T23" s="60" t="str">
        <f t="shared" si="19"/>
        <v xml:space="preserve"> </v>
      </c>
      <c r="U23" s="60" t="str">
        <f t="shared" si="20"/>
        <v xml:space="preserve"> </v>
      </c>
      <c r="W23">
        <f t="shared" si="21"/>
        <v>480</v>
      </c>
      <c r="X23">
        <f t="shared" si="22"/>
        <v>0</v>
      </c>
      <c r="Y23">
        <f t="shared" si="23"/>
        <v>480</v>
      </c>
      <c r="AD23" s="158">
        <f t="shared" si="25"/>
        <v>8</v>
      </c>
      <c r="AE23" s="158">
        <f t="shared" si="26"/>
        <v>0</v>
      </c>
      <c r="AF23" s="64">
        <f t="shared" si="27"/>
        <v>8</v>
      </c>
      <c r="AG23" s="169">
        <f t="shared" si="28"/>
        <v>16</v>
      </c>
      <c r="AH23" s="169">
        <f t="shared" si="29"/>
        <v>0</v>
      </c>
      <c r="AI23" s="64">
        <f t="shared" si="30"/>
        <v>16</v>
      </c>
      <c r="AJ23" s="169">
        <f t="shared" si="31"/>
        <v>8</v>
      </c>
      <c r="AK23" s="169">
        <f t="shared" si="32"/>
        <v>0</v>
      </c>
      <c r="AL23" s="64">
        <f t="shared" si="33"/>
        <v>8</v>
      </c>
    </row>
    <row r="24" spans="1:38" ht="15.75" x14ac:dyDescent="0.25">
      <c r="A24" s="2">
        <f t="shared" si="24"/>
        <v>46340</v>
      </c>
      <c r="B24" s="2">
        <f t="shared" si="15"/>
        <v>84</v>
      </c>
      <c r="C24" s="54" t="str">
        <f t="shared" si="0"/>
        <v>14.11. sobota</v>
      </c>
      <c r="D24" s="159" t="s">
        <v>47</v>
      </c>
      <c r="E24" s="117" t="str">
        <f t="shared" si="16"/>
        <v>wolne</v>
      </c>
      <c r="F24" s="115"/>
      <c r="G24" s="115"/>
      <c r="H24" s="55" t="str">
        <f t="shared" si="1"/>
        <v/>
      </c>
      <c r="I24" s="55" t="str">
        <f t="shared" si="2"/>
        <v/>
      </c>
      <c r="J24" s="56" t="str">
        <f t="shared" si="3"/>
        <v/>
      </c>
      <c r="K24" s="57">
        <f t="shared" si="34"/>
        <v>0</v>
      </c>
      <c r="L24" s="57">
        <f t="shared" si="17"/>
        <v>0</v>
      </c>
      <c r="M24" s="58" t="str">
        <f t="shared" si="4"/>
        <v>przerwa1</v>
      </c>
      <c r="N24" s="57">
        <f t="shared" si="18"/>
        <v>0</v>
      </c>
      <c r="O24" s="138"/>
      <c r="P24" s="149"/>
      <c r="Q24" s="138"/>
      <c r="R24" s="8"/>
      <c r="S24" s="60" t="str">
        <f t="shared" si="5"/>
        <v xml:space="preserve"> </v>
      </c>
      <c r="T24" s="60" t="str">
        <f t="shared" si="19"/>
        <v xml:space="preserve"> </v>
      </c>
      <c r="U24" s="60" t="str">
        <f t="shared" si="20"/>
        <v xml:space="preserve"> </v>
      </c>
      <c r="W24">
        <f t="shared" si="21"/>
        <v>0</v>
      </c>
      <c r="X24">
        <f t="shared" si="22"/>
        <v>0</v>
      </c>
      <c r="Y24">
        <f t="shared" si="23"/>
        <v>0</v>
      </c>
      <c r="AD24" s="158">
        <f t="shared" si="25"/>
        <v>0</v>
      </c>
      <c r="AE24" s="158">
        <f t="shared" si="26"/>
        <v>0</v>
      </c>
      <c r="AF24" s="64" t="str">
        <f t="shared" si="27"/>
        <v xml:space="preserve"> </v>
      </c>
      <c r="AG24" s="169">
        <f t="shared" si="28"/>
        <v>0</v>
      </c>
      <c r="AH24" s="169">
        <f t="shared" si="29"/>
        <v>0</v>
      </c>
      <c r="AI24" s="64" t="str">
        <f t="shared" si="30"/>
        <v xml:space="preserve"> </v>
      </c>
      <c r="AJ24" s="169" t="str">
        <f t="shared" si="31"/>
        <v/>
      </c>
      <c r="AK24" s="169" t="str">
        <f t="shared" si="32"/>
        <v/>
      </c>
      <c r="AL24" s="64" t="str">
        <f t="shared" si="33"/>
        <v xml:space="preserve"> </v>
      </c>
    </row>
    <row r="25" spans="1:38" ht="15.75" x14ac:dyDescent="0.25">
      <c r="A25" s="2">
        <f t="shared" si="24"/>
        <v>46341</v>
      </c>
      <c r="B25" s="2">
        <f t="shared" si="15"/>
        <v>84</v>
      </c>
      <c r="C25" s="54" t="str">
        <f t="shared" si="0"/>
        <v>15.11. niedziela</v>
      </c>
      <c r="D25" s="159" t="s">
        <v>47</v>
      </c>
      <c r="E25" s="117" t="str">
        <f t="shared" si="16"/>
        <v>wolne</v>
      </c>
      <c r="F25" s="115"/>
      <c r="G25" s="115"/>
      <c r="H25" s="55" t="str">
        <f t="shared" si="1"/>
        <v/>
      </c>
      <c r="I25" s="55" t="str">
        <f t="shared" si="2"/>
        <v/>
      </c>
      <c r="J25" s="56" t="str">
        <f t="shared" si="3"/>
        <v/>
      </c>
      <c r="K25" s="57">
        <f t="shared" si="34"/>
        <v>0</v>
      </c>
      <c r="L25" s="57">
        <f t="shared" si="17"/>
        <v>0</v>
      </c>
      <c r="M25" s="58" t="str">
        <f t="shared" si="4"/>
        <v>przerwa1</v>
      </c>
      <c r="N25" s="57">
        <f t="shared" si="18"/>
        <v>0</v>
      </c>
      <c r="O25" s="138"/>
      <c r="P25" s="149"/>
      <c r="Q25" s="138"/>
      <c r="R25" s="8"/>
      <c r="S25" s="60" t="str">
        <f t="shared" si="5"/>
        <v xml:space="preserve"> </v>
      </c>
      <c r="T25" s="60" t="str">
        <f t="shared" si="19"/>
        <v xml:space="preserve"> </v>
      </c>
      <c r="U25" s="60" t="str">
        <f t="shared" si="20"/>
        <v xml:space="preserve"> </v>
      </c>
      <c r="W25">
        <f t="shared" si="21"/>
        <v>0</v>
      </c>
      <c r="X25">
        <f t="shared" si="22"/>
        <v>0</v>
      </c>
      <c r="Y25">
        <f t="shared" si="23"/>
        <v>0</v>
      </c>
      <c r="AD25" s="158">
        <f t="shared" si="25"/>
        <v>0</v>
      </c>
      <c r="AE25" s="158">
        <f t="shared" si="26"/>
        <v>0</v>
      </c>
      <c r="AF25" s="64" t="str">
        <f t="shared" si="27"/>
        <v xml:space="preserve"> </v>
      </c>
      <c r="AG25" s="169">
        <f t="shared" si="28"/>
        <v>0</v>
      </c>
      <c r="AH25" s="169">
        <f t="shared" si="29"/>
        <v>0</v>
      </c>
      <c r="AI25" s="64" t="str">
        <f t="shared" si="30"/>
        <v xml:space="preserve"> </v>
      </c>
      <c r="AJ25" s="169" t="str">
        <f t="shared" si="31"/>
        <v/>
      </c>
      <c r="AK25" s="169" t="str">
        <f t="shared" si="32"/>
        <v/>
      </c>
      <c r="AL25" s="64" t="str">
        <f t="shared" si="33"/>
        <v xml:space="preserve"> </v>
      </c>
    </row>
    <row r="26" spans="1:38" ht="15.75" x14ac:dyDescent="0.25">
      <c r="A26" s="2">
        <f t="shared" si="24"/>
        <v>46342</v>
      </c>
      <c r="B26" s="2">
        <f t="shared" si="15"/>
        <v>84</v>
      </c>
      <c r="C26" s="54" t="str">
        <f t="shared" si="0"/>
        <v>16.11. poniedziałek</v>
      </c>
      <c r="D26" s="159"/>
      <c r="E26" s="117" t="str">
        <f t="shared" si="16"/>
        <v xml:space="preserve"> </v>
      </c>
      <c r="F26" s="115">
        <v>8</v>
      </c>
      <c r="G26" s="115">
        <v>16</v>
      </c>
      <c r="H26" s="55">
        <f t="shared" si="1"/>
        <v>8</v>
      </c>
      <c r="I26" s="55">
        <f t="shared" si="2"/>
        <v>0</v>
      </c>
      <c r="J26" s="56">
        <f t="shared" si="3"/>
        <v>0</v>
      </c>
      <c r="K26" s="57">
        <f t="shared" si="34"/>
        <v>1</v>
      </c>
      <c r="L26" s="57">
        <f t="shared" si="17"/>
        <v>0</v>
      </c>
      <c r="M26" s="58" t="str">
        <f t="shared" si="4"/>
        <v>przerwa1</v>
      </c>
      <c r="N26" s="57">
        <f t="shared" si="18"/>
        <v>1</v>
      </c>
      <c r="O26" s="138"/>
      <c r="P26" s="149"/>
      <c r="Q26" s="138"/>
      <c r="R26" s="8"/>
      <c r="S26" s="60">
        <f t="shared" si="5"/>
        <v>0</v>
      </c>
      <c r="T26" s="60" t="str">
        <f t="shared" si="19"/>
        <v xml:space="preserve"> </v>
      </c>
      <c r="U26" s="60" t="str">
        <f t="shared" si="20"/>
        <v xml:space="preserve"> </v>
      </c>
      <c r="W26">
        <f t="shared" si="21"/>
        <v>480</v>
      </c>
      <c r="X26">
        <f t="shared" si="22"/>
        <v>0</v>
      </c>
      <c r="Y26">
        <f t="shared" si="23"/>
        <v>480</v>
      </c>
      <c r="AD26" s="158">
        <f t="shared" si="25"/>
        <v>8</v>
      </c>
      <c r="AE26" s="158">
        <f t="shared" si="26"/>
        <v>0</v>
      </c>
      <c r="AF26" s="64">
        <f t="shared" si="27"/>
        <v>8</v>
      </c>
      <c r="AG26" s="169">
        <f t="shared" si="28"/>
        <v>16</v>
      </c>
      <c r="AH26" s="169">
        <f t="shared" si="29"/>
        <v>0</v>
      </c>
      <c r="AI26" s="64">
        <f t="shared" si="30"/>
        <v>16</v>
      </c>
      <c r="AJ26" s="169">
        <f t="shared" si="31"/>
        <v>8</v>
      </c>
      <c r="AK26" s="169">
        <f t="shared" si="32"/>
        <v>0</v>
      </c>
      <c r="AL26" s="64">
        <f t="shared" si="33"/>
        <v>8</v>
      </c>
    </row>
    <row r="27" spans="1:38" ht="15.75" x14ac:dyDescent="0.25">
      <c r="A27" s="2">
        <f t="shared" si="24"/>
        <v>46343</v>
      </c>
      <c r="B27" s="2">
        <f t="shared" si="15"/>
        <v>84</v>
      </c>
      <c r="C27" s="54" t="str">
        <f t="shared" si="0"/>
        <v>17.11. wtorek</v>
      </c>
      <c r="D27" s="159"/>
      <c r="E27" s="117" t="str">
        <f t="shared" si="16"/>
        <v xml:space="preserve"> </v>
      </c>
      <c r="F27" s="115">
        <v>8</v>
      </c>
      <c r="G27" s="115">
        <v>16</v>
      </c>
      <c r="H27" s="55">
        <f t="shared" si="1"/>
        <v>8</v>
      </c>
      <c r="I27" s="55">
        <f t="shared" si="2"/>
        <v>0</v>
      </c>
      <c r="J27" s="56">
        <f t="shared" si="3"/>
        <v>0</v>
      </c>
      <c r="K27" s="57">
        <f t="shared" si="34"/>
        <v>1</v>
      </c>
      <c r="L27" s="57">
        <f t="shared" si="17"/>
        <v>0</v>
      </c>
      <c r="M27" s="58" t="str">
        <f t="shared" si="4"/>
        <v>przerwa1</v>
      </c>
      <c r="N27" s="57">
        <f t="shared" si="18"/>
        <v>1</v>
      </c>
      <c r="O27" s="138"/>
      <c r="P27" s="149"/>
      <c r="Q27" s="138"/>
      <c r="R27" s="8"/>
      <c r="S27" s="60">
        <f t="shared" si="5"/>
        <v>0</v>
      </c>
      <c r="T27" s="60" t="str">
        <f t="shared" si="19"/>
        <v xml:space="preserve"> </v>
      </c>
      <c r="U27" s="60" t="str">
        <f t="shared" si="20"/>
        <v xml:space="preserve"> </v>
      </c>
      <c r="W27">
        <f t="shared" si="21"/>
        <v>480</v>
      </c>
      <c r="X27">
        <f t="shared" si="22"/>
        <v>0</v>
      </c>
      <c r="Y27">
        <f t="shared" si="23"/>
        <v>480</v>
      </c>
      <c r="AD27" s="158">
        <f t="shared" si="25"/>
        <v>8</v>
      </c>
      <c r="AE27" s="158">
        <f t="shared" si="26"/>
        <v>0</v>
      </c>
      <c r="AF27" s="64">
        <f t="shared" si="27"/>
        <v>8</v>
      </c>
      <c r="AG27" s="169">
        <f t="shared" si="28"/>
        <v>16</v>
      </c>
      <c r="AH27" s="169">
        <f t="shared" si="29"/>
        <v>0</v>
      </c>
      <c r="AI27" s="64">
        <f t="shared" si="30"/>
        <v>16</v>
      </c>
      <c r="AJ27" s="169">
        <f t="shared" si="31"/>
        <v>8</v>
      </c>
      <c r="AK27" s="169">
        <f t="shared" si="32"/>
        <v>0</v>
      </c>
      <c r="AL27" s="64">
        <f t="shared" si="33"/>
        <v>8</v>
      </c>
    </row>
    <row r="28" spans="1:38" ht="15.75" x14ac:dyDescent="0.25">
      <c r="A28" s="2">
        <f t="shared" si="24"/>
        <v>46344</v>
      </c>
      <c r="B28" s="2">
        <f t="shared" si="15"/>
        <v>84</v>
      </c>
      <c r="C28" s="54" t="str">
        <f t="shared" si="0"/>
        <v>18.11. środa</v>
      </c>
      <c r="D28" s="159"/>
      <c r="E28" s="117" t="str">
        <f t="shared" si="16"/>
        <v xml:space="preserve"> </v>
      </c>
      <c r="F28" s="115">
        <v>8</v>
      </c>
      <c r="G28" s="115">
        <v>16</v>
      </c>
      <c r="H28" s="55">
        <f t="shared" si="1"/>
        <v>8</v>
      </c>
      <c r="I28" s="55">
        <f t="shared" si="2"/>
        <v>0</v>
      </c>
      <c r="J28" s="56">
        <f t="shared" si="3"/>
        <v>0</v>
      </c>
      <c r="K28" s="57">
        <f t="shared" si="34"/>
        <v>1</v>
      </c>
      <c r="L28" s="57">
        <f t="shared" si="17"/>
        <v>0</v>
      </c>
      <c r="M28" s="58" t="str">
        <f t="shared" si="4"/>
        <v>przerwa1</v>
      </c>
      <c r="N28" s="57">
        <f t="shared" si="18"/>
        <v>1</v>
      </c>
      <c r="O28" s="138"/>
      <c r="P28" s="149"/>
      <c r="Q28" s="138"/>
      <c r="R28" s="8"/>
      <c r="S28" s="60">
        <f t="shared" si="5"/>
        <v>0</v>
      </c>
      <c r="T28" s="60" t="str">
        <f t="shared" si="19"/>
        <v xml:space="preserve"> </v>
      </c>
      <c r="U28" s="60" t="str">
        <f t="shared" si="20"/>
        <v xml:space="preserve"> </v>
      </c>
      <c r="W28">
        <f t="shared" si="21"/>
        <v>480</v>
      </c>
      <c r="X28">
        <f t="shared" si="22"/>
        <v>0</v>
      </c>
      <c r="Y28">
        <f t="shared" si="23"/>
        <v>480</v>
      </c>
      <c r="AD28" s="158">
        <f t="shared" si="25"/>
        <v>8</v>
      </c>
      <c r="AE28" s="158">
        <f t="shared" si="26"/>
        <v>0</v>
      </c>
      <c r="AF28" s="64">
        <f t="shared" si="27"/>
        <v>8</v>
      </c>
      <c r="AG28" s="169">
        <f t="shared" si="28"/>
        <v>16</v>
      </c>
      <c r="AH28" s="169">
        <f t="shared" si="29"/>
        <v>0</v>
      </c>
      <c r="AI28" s="64">
        <f t="shared" si="30"/>
        <v>16</v>
      </c>
      <c r="AJ28" s="169">
        <f t="shared" si="31"/>
        <v>8</v>
      </c>
      <c r="AK28" s="169">
        <f t="shared" si="32"/>
        <v>0</v>
      </c>
      <c r="AL28" s="64">
        <f t="shared" si="33"/>
        <v>8</v>
      </c>
    </row>
    <row r="29" spans="1:38" ht="15.75" x14ac:dyDescent="0.25">
      <c r="A29" s="2">
        <f t="shared" si="24"/>
        <v>46345</v>
      </c>
      <c r="B29" s="2">
        <f t="shared" si="15"/>
        <v>84</v>
      </c>
      <c r="C29" s="54" t="str">
        <f t="shared" si="0"/>
        <v>19.11. czwartek</v>
      </c>
      <c r="D29" s="159"/>
      <c r="E29" s="117" t="str">
        <f t="shared" si="16"/>
        <v xml:space="preserve"> </v>
      </c>
      <c r="F29" s="115">
        <v>8</v>
      </c>
      <c r="G29" s="115">
        <v>16</v>
      </c>
      <c r="H29" s="55">
        <f t="shared" si="1"/>
        <v>8</v>
      </c>
      <c r="I29" s="55">
        <f t="shared" si="2"/>
        <v>0</v>
      </c>
      <c r="J29" s="56">
        <f t="shared" si="3"/>
        <v>0</v>
      </c>
      <c r="K29" s="57">
        <f t="shared" si="34"/>
        <v>1</v>
      </c>
      <c r="L29" s="57">
        <f t="shared" si="17"/>
        <v>0</v>
      </c>
      <c r="M29" s="58" t="str">
        <f t="shared" si="4"/>
        <v>przerwa1</v>
      </c>
      <c r="N29" s="57">
        <f t="shared" si="18"/>
        <v>1</v>
      </c>
      <c r="O29" s="138"/>
      <c r="P29" s="149"/>
      <c r="Q29" s="138"/>
      <c r="R29" s="8"/>
      <c r="S29" s="60">
        <f t="shared" si="5"/>
        <v>0</v>
      </c>
      <c r="T29" s="60" t="str">
        <f t="shared" si="19"/>
        <v xml:space="preserve"> </v>
      </c>
      <c r="U29" s="60" t="str">
        <f t="shared" si="20"/>
        <v xml:space="preserve"> </v>
      </c>
      <c r="W29">
        <f t="shared" si="21"/>
        <v>480</v>
      </c>
      <c r="X29">
        <f t="shared" si="22"/>
        <v>0</v>
      </c>
      <c r="Y29">
        <f t="shared" si="23"/>
        <v>480</v>
      </c>
      <c r="AD29" s="158">
        <f t="shared" si="25"/>
        <v>8</v>
      </c>
      <c r="AE29" s="158">
        <f t="shared" si="26"/>
        <v>0</v>
      </c>
      <c r="AF29" s="64">
        <f t="shared" si="27"/>
        <v>8</v>
      </c>
      <c r="AG29" s="169">
        <f t="shared" si="28"/>
        <v>16</v>
      </c>
      <c r="AH29" s="169">
        <f t="shared" si="29"/>
        <v>0</v>
      </c>
      <c r="AI29" s="64">
        <f t="shared" si="30"/>
        <v>16</v>
      </c>
      <c r="AJ29" s="169">
        <f t="shared" si="31"/>
        <v>8</v>
      </c>
      <c r="AK29" s="169">
        <f t="shared" si="32"/>
        <v>0</v>
      </c>
      <c r="AL29" s="64">
        <f t="shared" si="33"/>
        <v>8</v>
      </c>
    </row>
    <row r="30" spans="1:38" ht="15.75" x14ac:dyDescent="0.25">
      <c r="A30" s="2">
        <f t="shared" si="24"/>
        <v>46346</v>
      </c>
      <c r="B30" s="2">
        <f t="shared" si="15"/>
        <v>84</v>
      </c>
      <c r="C30" s="54" t="str">
        <f t="shared" si="0"/>
        <v>20.11. piątek</v>
      </c>
      <c r="D30" s="159"/>
      <c r="E30" s="117" t="str">
        <f t="shared" si="16"/>
        <v xml:space="preserve"> </v>
      </c>
      <c r="F30" s="115">
        <v>8</v>
      </c>
      <c r="G30" s="115">
        <v>16</v>
      </c>
      <c r="H30" s="55">
        <f t="shared" si="1"/>
        <v>8</v>
      </c>
      <c r="I30" s="55">
        <f t="shared" si="2"/>
        <v>0</v>
      </c>
      <c r="J30" s="56">
        <f t="shared" si="3"/>
        <v>0</v>
      </c>
      <c r="K30" s="57">
        <f t="shared" si="34"/>
        <v>1</v>
      </c>
      <c r="L30" s="57">
        <f t="shared" si="17"/>
        <v>0</v>
      </c>
      <c r="M30" s="58" t="str">
        <f t="shared" si="4"/>
        <v>przerwa1</v>
      </c>
      <c r="N30" s="57">
        <f t="shared" si="18"/>
        <v>1</v>
      </c>
      <c r="O30" s="138"/>
      <c r="P30" s="149"/>
      <c r="Q30" s="138"/>
      <c r="R30" s="8"/>
      <c r="S30" s="60">
        <f t="shared" si="5"/>
        <v>0</v>
      </c>
      <c r="T30" s="60" t="str">
        <f t="shared" si="19"/>
        <v xml:space="preserve"> </v>
      </c>
      <c r="U30" s="60" t="str">
        <f t="shared" si="20"/>
        <v xml:space="preserve"> </v>
      </c>
      <c r="W30">
        <f t="shared" si="21"/>
        <v>480</v>
      </c>
      <c r="X30">
        <f t="shared" si="22"/>
        <v>0</v>
      </c>
      <c r="Y30">
        <f t="shared" si="23"/>
        <v>480</v>
      </c>
      <c r="AD30" s="158">
        <f t="shared" si="25"/>
        <v>8</v>
      </c>
      <c r="AE30" s="158">
        <f t="shared" si="26"/>
        <v>0</v>
      </c>
      <c r="AF30" s="64">
        <f t="shared" si="27"/>
        <v>8</v>
      </c>
      <c r="AG30" s="169">
        <f t="shared" si="28"/>
        <v>16</v>
      </c>
      <c r="AH30" s="169">
        <f t="shared" si="29"/>
        <v>0</v>
      </c>
      <c r="AI30" s="64">
        <f t="shared" si="30"/>
        <v>16</v>
      </c>
      <c r="AJ30" s="169">
        <f t="shared" si="31"/>
        <v>8</v>
      </c>
      <c r="AK30" s="169">
        <f t="shared" si="32"/>
        <v>0</v>
      </c>
      <c r="AL30" s="64">
        <f t="shared" si="33"/>
        <v>8</v>
      </c>
    </row>
    <row r="31" spans="1:38" ht="15.75" x14ac:dyDescent="0.25">
      <c r="A31" s="2">
        <f t="shared" si="24"/>
        <v>46347</v>
      </c>
      <c r="B31" s="2">
        <f t="shared" si="15"/>
        <v>84</v>
      </c>
      <c r="C31" s="54" t="str">
        <f t="shared" si="0"/>
        <v>21.11. sobota</v>
      </c>
      <c r="D31" s="159" t="s">
        <v>47</v>
      </c>
      <c r="E31" s="117" t="str">
        <f t="shared" si="16"/>
        <v>wolne</v>
      </c>
      <c r="F31" s="115"/>
      <c r="G31" s="115"/>
      <c r="H31" s="55" t="str">
        <f t="shared" si="1"/>
        <v/>
      </c>
      <c r="I31" s="55" t="str">
        <f t="shared" si="2"/>
        <v/>
      </c>
      <c r="J31" s="56" t="str">
        <f t="shared" si="3"/>
        <v/>
      </c>
      <c r="K31" s="57">
        <f t="shared" si="34"/>
        <v>0</v>
      </c>
      <c r="L31" s="57">
        <f t="shared" si="17"/>
        <v>0</v>
      </c>
      <c r="M31" s="58" t="str">
        <f t="shared" si="4"/>
        <v>przerwa1</v>
      </c>
      <c r="N31" s="57">
        <f t="shared" si="18"/>
        <v>0</v>
      </c>
      <c r="O31" s="138"/>
      <c r="P31" s="149"/>
      <c r="Q31" s="138"/>
      <c r="R31" s="8"/>
      <c r="S31" s="60" t="str">
        <f t="shared" si="5"/>
        <v xml:space="preserve"> </v>
      </c>
      <c r="T31" s="60" t="str">
        <f t="shared" si="19"/>
        <v xml:space="preserve"> </v>
      </c>
      <c r="U31" s="60" t="str">
        <f t="shared" si="20"/>
        <v xml:space="preserve"> </v>
      </c>
      <c r="W31">
        <f t="shared" si="21"/>
        <v>0</v>
      </c>
      <c r="X31">
        <f t="shared" si="22"/>
        <v>0</v>
      </c>
      <c r="Y31">
        <f t="shared" si="23"/>
        <v>0</v>
      </c>
      <c r="AD31" s="158">
        <f t="shared" si="25"/>
        <v>0</v>
      </c>
      <c r="AE31" s="158">
        <f t="shared" si="26"/>
        <v>0</v>
      </c>
      <c r="AF31" s="64" t="str">
        <f t="shared" si="27"/>
        <v xml:space="preserve"> </v>
      </c>
      <c r="AG31" s="169">
        <f t="shared" si="28"/>
        <v>0</v>
      </c>
      <c r="AH31" s="169">
        <f t="shared" si="29"/>
        <v>0</v>
      </c>
      <c r="AI31" s="64" t="str">
        <f t="shared" si="30"/>
        <v xml:space="preserve"> </v>
      </c>
      <c r="AJ31" s="169" t="str">
        <f t="shared" si="31"/>
        <v/>
      </c>
      <c r="AK31" s="169" t="str">
        <f t="shared" si="32"/>
        <v/>
      </c>
      <c r="AL31" s="64" t="str">
        <f t="shared" si="33"/>
        <v xml:space="preserve"> </v>
      </c>
    </row>
    <row r="32" spans="1:38" ht="15.75" x14ac:dyDescent="0.25">
      <c r="A32" s="2">
        <f t="shared" si="24"/>
        <v>46348</v>
      </c>
      <c r="B32" s="2">
        <f t="shared" si="15"/>
        <v>84</v>
      </c>
      <c r="C32" s="54" t="str">
        <f t="shared" si="0"/>
        <v>22.11. niedziela</v>
      </c>
      <c r="D32" s="159" t="s">
        <v>47</v>
      </c>
      <c r="E32" s="117" t="str">
        <f t="shared" si="16"/>
        <v>wolne</v>
      </c>
      <c r="F32" s="115"/>
      <c r="G32" s="115"/>
      <c r="H32" s="55" t="str">
        <f t="shared" si="1"/>
        <v/>
      </c>
      <c r="I32" s="55" t="str">
        <f t="shared" si="2"/>
        <v/>
      </c>
      <c r="J32" s="56" t="str">
        <f t="shared" si="3"/>
        <v/>
      </c>
      <c r="K32" s="57">
        <f t="shared" si="34"/>
        <v>0</v>
      </c>
      <c r="L32" s="57">
        <f t="shared" si="17"/>
        <v>0</v>
      </c>
      <c r="M32" s="58" t="str">
        <f t="shared" si="4"/>
        <v>przerwa1</v>
      </c>
      <c r="N32" s="57">
        <f t="shared" si="18"/>
        <v>0</v>
      </c>
      <c r="O32" s="138"/>
      <c r="P32" s="149"/>
      <c r="Q32" s="138"/>
      <c r="R32" s="8"/>
      <c r="S32" s="60" t="str">
        <f t="shared" si="5"/>
        <v xml:space="preserve"> </v>
      </c>
      <c r="T32" s="60" t="str">
        <f t="shared" si="19"/>
        <v xml:space="preserve"> </v>
      </c>
      <c r="U32" s="60" t="str">
        <f t="shared" si="20"/>
        <v xml:space="preserve"> </v>
      </c>
      <c r="W32">
        <f t="shared" si="21"/>
        <v>0</v>
      </c>
      <c r="X32">
        <f t="shared" si="22"/>
        <v>0</v>
      </c>
      <c r="Y32">
        <f t="shared" si="23"/>
        <v>0</v>
      </c>
      <c r="AD32" s="158">
        <f t="shared" si="25"/>
        <v>0</v>
      </c>
      <c r="AE32" s="158">
        <f t="shared" si="26"/>
        <v>0</v>
      </c>
      <c r="AF32" s="64" t="str">
        <f t="shared" si="27"/>
        <v xml:space="preserve"> </v>
      </c>
      <c r="AG32" s="169">
        <f t="shared" si="28"/>
        <v>0</v>
      </c>
      <c r="AH32" s="169">
        <f t="shared" si="29"/>
        <v>0</v>
      </c>
      <c r="AI32" s="64" t="str">
        <f t="shared" si="30"/>
        <v xml:space="preserve"> </v>
      </c>
      <c r="AJ32" s="169" t="str">
        <f t="shared" si="31"/>
        <v/>
      </c>
      <c r="AK32" s="169" t="str">
        <f t="shared" si="32"/>
        <v/>
      </c>
      <c r="AL32" s="64" t="str">
        <f t="shared" si="33"/>
        <v xml:space="preserve"> </v>
      </c>
    </row>
    <row r="33" spans="1:38" ht="15.75" x14ac:dyDescent="0.25">
      <c r="A33" s="2">
        <f t="shared" si="24"/>
        <v>46349</v>
      </c>
      <c r="B33" s="2">
        <f t="shared" si="15"/>
        <v>84</v>
      </c>
      <c r="C33" s="54" t="str">
        <f t="shared" si="0"/>
        <v>23.11. poniedziałek</v>
      </c>
      <c r="D33" s="159"/>
      <c r="E33" s="117" t="str">
        <f t="shared" si="16"/>
        <v xml:space="preserve"> </v>
      </c>
      <c r="F33" s="115">
        <v>8</v>
      </c>
      <c r="G33" s="115">
        <v>16</v>
      </c>
      <c r="H33" s="55">
        <f t="shared" si="1"/>
        <v>8</v>
      </c>
      <c r="I33" s="55">
        <f t="shared" si="2"/>
        <v>0</v>
      </c>
      <c r="J33" s="56">
        <f t="shared" si="3"/>
        <v>0</v>
      </c>
      <c r="K33" s="57">
        <f t="shared" si="34"/>
        <v>1</v>
      </c>
      <c r="L33" s="57">
        <f t="shared" si="17"/>
        <v>0</v>
      </c>
      <c r="M33" s="58" t="str">
        <f t="shared" si="4"/>
        <v>przerwa1</v>
      </c>
      <c r="N33" s="57">
        <f t="shared" si="18"/>
        <v>1</v>
      </c>
      <c r="O33" s="138"/>
      <c r="P33" s="149"/>
      <c r="Q33" s="138"/>
      <c r="R33" s="8"/>
      <c r="S33" s="60">
        <f t="shared" si="5"/>
        <v>0</v>
      </c>
      <c r="T33" s="60" t="str">
        <f t="shared" si="19"/>
        <v xml:space="preserve"> </v>
      </c>
      <c r="U33" s="60" t="str">
        <f t="shared" si="20"/>
        <v xml:space="preserve"> </v>
      </c>
      <c r="W33">
        <f t="shared" si="21"/>
        <v>480</v>
      </c>
      <c r="X33">
        <f t="shared" si="22"/>
        <v>0</v>
      </c>
      <c r="Y33">
        <f t="shared" si="23"/>
        <v>480</v>
      </c>
      <c r="AD33" s="158">
        <f t="shared" si="25"/>
        <v>8</v>
      </c>
      <c r="AE33" s="158">
        <f t="shared" si="26"/>
        <v>0</v>
      </c>
      <c r="AF33" s="64">
        <f t="shared" si="27"/>
        <v>8</v>
      </c>
      <c r="AG33" s="169">
        <f t="shared" si="28"/>
        <v>16</v>
      </c>
      <c r="AH33" s="169">
        <f t="shared" si="29"/>
        <v>0</v>
      </c>
      <c r="AI33" s="64">
        <f t="shared" si="30"/>
        <v>16</v>
      </c>
      <c r="AJ33" s="169">
        <f t="shared" si="31"/>
        <v>8</v>
      </c>
      <c r="AK33" s="169">
        <f t="shared" si="32"/>
        <v>0</v>
      </c>
      <c r="AL33" s="64">
        <f t="shared" si="33"/>
        <v>8</v>
      </c>
    </row>
    <row r="34" spans="1:38" ht="15.75" x14ac:dyDescent="0.25">
      <c r="A34" s="2">
        <f t="shared" si="24"/>
        <v>46350</v>
      </c>
      <c r="B34" s="2">
        <f t="shared" si="15"/>
        <v>84</v>
      </c>
      <c r="C34" s="54" t="str">
        <f t="shared" si="0"/>
        <v>24.11. wtorek</v>
      </c>
      <c r="D34" s="159"/>
      <c r="E34" s="117" t="str">
        <f t="shared" si="16"/>
        <v xml:space="preserve"> </v>
      </c>
      <c r="F34" s="115">
        <v>8</v>
      </c>
      <c r="G34" s="115">
        <v>16</v>
      </c>
      <c r="H34" s="55">
        <f t="shared" si="1"/>
        <v>8</v>
      </c>
      <c r="I34" s="55">
        <f t="shared" si="2"/>
        <v>0</v>
      </c>
      <c r="J34" s="56">
        <f t="shared" si="3"/>
        <v>0</v>
      </c>
      <c r="K34" s="57">
        <f t="shared" si="34"/>
        <v>1</v>
      </c>
      <c r="L34" s="57">
        <f t="shared" si="17"/>
        <v>0</v>
      </c>
      <c r="M34" s="58" t="str">
        <f t="shared" si="4"/>
        <v>przerwa1</v>
      </c>
      <c r="N34" s="57">
        <f t="shared" si="18"/>
        <v>1</v>
      </c>
      <c r="O34" s="138"/>
      <c r="P34" s="149"/>
      <c r="Q34" s="138"/>
      <c r="R34" s="8"/>
      <c r="S34" s="60">
        <f t="shared" si="5"/>
        <v>0</v>
      </c>
      <c r="T34" s="60" t="str">
        <f t="shared" si="19"/>
        <v xml:space="preserve"> </v>
      </c>
      <c r="U34" s="60" t="str">
        <f t="shared" si="20"/>
        <v xml:space="preserve"> </v>
      </c>
      <c r="W34">
        <f t="shared" si="21"/>
        <v>480</v>
      </c>
      <c r="X34">
        <f t="shared" si="22"/>
        <v>0</v>
      </c>
      <c r="Y34">
        <f t="shared" si="23"/>
        <v>480</v>
      </c>
      <c r="AD34" s="158">
        <f t="shared" si="25"/>
        <v>8</v>
      </c>
      <c r="AE34" s="158">
        <f t="shared" si="26"/>
        <v>0</v>
      </c>
      <c r="AF34" s="64">
        <f t="shared" si="27"/>
        <v>8</v>
      </c>
      <c r="AG34" s="169">
        <f t="shared" si="28"/>
        <v>16</v>
      </c>
      <c r="AH34" s="169">
        <f t="shared" si="29"/>
        <v>0</v>
      </c>
      <c r="AI34" s="64">
        <f t="shared" si="30"/>
        <v>16</v>
      </c>
      <c r="AJ34" s="169">
        <f t="shared" si="31"/>
        <v>8</v>
      </c>
      <c r="AK34" s="169">
        <f t="shared" si="32"/>
        <v>0</v>
      </c>
      <c r="AL34" s="64">
        <f t="shared" si="33"/>
        <v>8</v>
      </c>
    </row>
    <row r="35" spans="1:38" ht="15.75" x14ac:dyDescent="0.25">
      <c r="A35" s="2">
        <f t="shared" si="24"/>
        <v>46351</v>
      </c>
      <c r="B35" s="2">
        <f t="shared" si="15"/>
        <v>84</v>
      </c>
      <c r="C35" s="54" t="str">
        <f t="shared" si="0"/>
        <v>25.11. środa</v>
      </c>
      <c r="D35" s="159"/>
      <c r="E35" s="117" t="str">
        <f t="shared" si="16"/>
        <v xml:space="preserve"> </v>
      </c>
      <c r="F35" s="115">
        <v>8</v>
      </c>
      <c r="G35" s="115">
        <v>16</v>
      </c>
      <c r="H35" s="55">
        <f t="shared" si="1"/>
        <v>8</v>
      </c>
      <c r="I35" s="55">
        <f t="shared" si="2"/>
        <v>0</v>
      </c>
      <c r="J35" s="56">
        <f t="shared" si="3"/>
        <v>0</v>
      </c>
      <c r="K35" s="57">
        <f t="shared" si="34"/>
        <v>1</v>
      </c>
      <c r="L35" s="57">
        <f t="shared" si="17"/>
        <v>0</v>
      </c>
      <c r="M35" s="58" t="str">
        <f t="shared" si="4"/>
        <v>przerwa1</v>
      </c>
      <c r="N35" s="57">
        <f t="shared" si="18"/>
        <v>1</v>
      </c>
      <c r="O35" s="138"/>
      <c r="P35" s="149"/>
      <c r="Q35" s="138"/>
      <c r="R35" s="8"/>
      <c r="S35" s="60">
        <f t="shared" si="5"/>
        <v>0</v>
      </c>
      <c r="T35" s="60" t="str">
        <f t="shared" si="19"/>
        <v xml:space="preserve"> </v>
      </c>
      <c r="U35" s="60" t="str">
        <f t="shared" si="20"/>
        <v xml:space="preserve"> </v>
      </c>
      <c r="W35">
        <f t="shared" si="21"/>
        <v>480</v>
      </c>
      <c r="X35">
        <f t="shared" si="22"/>
        <v>0</v>
      </c>
      <c r="Y35">
        <f t="shared" si="23"/>
        <v>480</v>
      </c>
      <c r="AD35" s="158">
        <f t="shared" si="25"/>
        <v>8</v>
      </c>
      <c r="AE35" s="158">
        <f t="shared" si="26"/>
        <v>0</v>
      </c>
      <c r="AF35" s="64">
        <f t="shared" si="27"/>
        <v>8</v>
      </c>
      <c r="AG35" s="169">
        <f t="shared" si="28"/>
        <v>16</v>
      </c>
      <c r="AH35" s="169">
        <f t="shared" si="29"/>
        <v>0</v>
      </c>
      <c r="AI35" s="64">
        <f t="shared" si="30"/>
        <v>16</v>
      </c>
      <c r="AJ35" s="169">
        <f t="shared" si="31"/>
        <v>8</v>
      </c>
      <c r="AK35" s="169">
        <f t="shared" si="32"/>
        <v>0</v>
      </c>
      <c r="AL35" s="64">
        <f t="shared" si="33"/>
        <v>8</v>
      </c>
    </row>
    <row r="36" spans="1:38" ht="15.75" x14ac:dyDescent="0.25">
      <c r="A36" s="2">
        <f t="shared" si="24"/>
        <v>46352</v>
      </c>
      <c r="B36" s="2">
        <f t="shared" si="15"/>
        <v>84</v>
      </c>
      <c r="C36" s="54" t="str">
        <f t="shared" si="0"/>
        <v>26.11. czwartek</v>
      </c>
      <c r="D36" s="159"/>
      <c r="E36" s="117" t="str">
        <f t="shared" si="16"/>
        <v xml:space="preserve"> </v>
      </c>
      <c r="F36" s="115">
        <v>8</v>
      </c>
      <c r="G36" s="115">
        <v>16</v>
      </c>
      <c r="H36" s="55">
        <f t="shared" si="1"/>
        <v>8</v>
      </c>
      <c r="I36" s="55">
        <f t="shared" si="2"/>
        <v>0</v>
      </c>
      <c r="J36" s="56">
        <f t="shared" si="3"/>
        <v>0</v>
      </c>
      <c r="K36" s="57">
        <f t="shared" si="34"/>
        <v>1</v>
      </c>
      <c r="L36" s="57">
        <f t="shared" si="17"/>
        <v>0</v>
      </c>
      <c r="M36" s="58" t="str">
        <f t="shared" si="4"/>
        <v>przerwa1</v>
      </c>
      <c r="N36" s="57">
        <f t="shared" si="18"/>
        <v>1</v>
      </c>
      <c r="O36" s="138"/>
      <c r="P36" s="149"/>
      <c r="Q36" s="138"/>
      <c r="R36" s="8"/>
      <c r="S36" s="60">
        <f t="shared" si="5"/>
        <v>0</v>
      </c>
      <c r="T36" s="60" t="str">
        <f t="shared" si="19"/>
        <v xml:space="preserve"> </v>
      </c>
      <c r="U36" s="60" t="str">
        <f t="shared" si="20"/>
        <v xml:space="preserve"> </v>
      </c>
      <c r="W36">
        <f t="shared" si="21"/>
        <v>480</v>
      </c>
      <c r="X36">
        <f t="shared" si="22"/>
        <v>0</v>
      </c>
      <c r="Y36">
        <f t="shared" si="23"/>
        <v>480</v>
      </c>
      <c r="AD36" s="158">
        <f t="shared" si="25"/>
        <v>8</v>
      </c>
      <c r="AE36" s="158">
        <f t="shared" si="26"/>
        <v>0</v>
      </c>
      <c r="AF36" s="64">
        <f t="shared" si="27"/>
        <v>8</v>
      </c>
      <c r="AG36" s="169">
        <f t="shared" si="28"/>
        <v>16</v>
      </c>
      <c r="AH36" s="169">
        <f t="shared" si="29"/>
        <v>0</v>
      </c>
      <c r="AI36" s="64">
        <f t="shared" si="30"/>
        <v>16</v>
      </c>
      <c r="AJ36" s="169">
        <f t="shared" si="31"/>
        <v>8</v>
      </c>
      <c r="AK36" s="169">
        <f t="shared" si="32"/>
        <v>0</v>
      </c>
      <c r="AL36" s="64">
        <f t="shared" si="33"/>
        <v>8</v>
      </c>
    </row>
    <row r="37" spans="1:38" ht="15.75" x14ac:dyDescent="0.25">
      <c r="A37" s="2">
        <f t="shared" si="24"/>
        <v>46353</v>
      </c>
      <c r="B37" s="2">
        <f t="shared" si="15"/>
        <v>84</v>
      </c>
      <c r="C37" s="54" t="str">
        <f t="shared" si="0"/>
        <v>27.11. piątek</v>
      </c>
      <c r="D37" s="159"/>
      <c r="E37" s="117" t="str">
        <f t="shared" si="16"/>
        <v xml:space="preserve"> </v>
      </c>
      <c r="F37" s="115">
        <v>8</v>
      </c>
      <c r="G37" s="115">
        <v>16</v>
      </c>
      <c r="H37" s="55">
        <f t="shared" si="1"/>
        <v>8</v>
      </c>
      <c r="I37" s="55">
        <f t="shared" si="2"/>
        <v>0</v>
      </c>
      <c r="J37" s="56">
        <f t="shared" si="3"/>
        <v>0</v>
      </c>
      <c r="K37" s="57">
        <f t="shared" si="34"/>
        <v>1</v>
      </c>
      <c r="L37" s="57">
        <f t="shared" si="17"/>
        <v>0</v>
      </c>
      <c r="M37" s="58" t="str">
        <f t="shared" si="4"/>
        <v>przerwa1</v>
      </c>
      <c r="N37" s="57">
        <f t="shared" si="18"/>
        <v>1</v>
      </c>
      <c r="O37" s="138"/>
      <c r="P37" s="149"/>
      <c r="Q37" s="138"/>
      <c r="R37" s="8"/>
      <c r="S37" s="60">
        <f t="shared" si="5"/>
        <v>0</v>
      </c>
      <c r="T37" s="60" t="str">
        <f t="shared" si="19"/>
        <v xml:space="preserve"> </v>
      </c>
      <c r="U37" s="60" t="str">
        <f t="shared" si="20"/>
        <v xml:space="preserve"> </v>
      </c>
      <c r="W37">
        <f t="shared" si="21"/>
        <v>480</v>
      </c>
      <c r="X37">
        <f t="shared" si="22"/>
        <v>0</v>
      </c>
      <c r="Y37">
        <f t="shared" si="23"/>
        <v>480</v>
      </c>
      <c r="AD37" s="158">
        <f t="shared" si="25"/>
        <v>8</v>
      </c>
      <c r="AE37" s="158">
        <f t="shared" si="26"/>
        <v>0</v>
      </c>
      <c r="AF37" s="64">
        <f t="shared" si="27"/>
        <v>8</v>
      </c>
      <c r="AG37" s="169">
        <f t="shared" si="28"/>
        <v>16</v>
      </c>
      <c r="AH37" s="169">
        <f t="shared" si="29"/>
        <v>0</v>
      </c>
      <c r="AI37" s="64">
        <f t="shared" si="30"/>
        <v>16</v>
      </c>
      <c r="AJ37" s="169">
        <f t="shared" si="31"/>
        <v>8</v>
      </c>
      <c r="AK37" s="169">
        <f t="shared" si="32"/>
        <v>0</v>
      </c>
      <c r="AL37" s="64">
        <f t="shared" si="33"/>
        <v>8</v>
      </c>
    </row>
    <row r="38" spans="1:38" ht="15.75" x14ac:dyDescent="0.25">
      <c r="A38" s="2">
        <f t="shared" si="24"/>
        <v>46354</v>
      </c>
      <c r="B38" s="2">
        <f t="shared" si="15"/>
        <v>84</v>
      </c>
      <c r="C38" s="54" t="str">
        <f t="shared" si="0"/>
        <v>28.11. sobota</v>
      </c>
      <c r="D38" s="159" t="s">
        <v>47</v>
      </c>
      <c r="E38" s="117" t="str">
        <f t="shared" si="16"/>
        <v>wolne</v>
      </c>
      <c r="F38" s="115"/>
      <c r="G38" s="115"/>
      <c r="H38" s="55" t="str">
        <f t="shared" si="1"/>
        <v/>
      </c>
      <c r="I38" s="55" t="str">
        <f t="shared" si="2"/>
        <v/>
      </c>
      <c r="J38" s="56" t="str">
        <f t="shared" si="3"/>
        <v/>
      </c>
      <c r="K38" s="57">
        <f t="shared" si="34"/>
        <v>0</v>
      </c>
      <c r="L38" s="57">
        <f t="shared" si="17"/>
        <v>0</v>
      </c>
      <c r="M38" s="58" t="str">
        <f t="shared" si="4"/>
        <v>przerwa1</v>
      </c>
      <c r="N38" s="57">
        <f t="shared" si="18"/>
        <v>0</v>
      </c>
      <c r="O38" s="138"/>
      <c r="P38" s="149"/>
      <c r="Q38" s="138"/>
      <c r="R38" s="8"/>
      <c r="S38" s="60" t="str">
        <f t="shared" si="5"/>
        <v xml:space="preserve"> </v>
      </c>
      <c r="T38" s="60" t="str">
        <f t="shared" si="19"/>
        <v xml:space="preserve"> </v>
      </c>
      <c r="U38" s="60" t="str">
        <f t="shared" si="20"/>
        <v xml:space="preserve"> </v>
      </c>
      <c r="W38">
        <f t="shared" si="21"/>
        <v>0</v>
      </c>
      <c r="X38">
        <f t="shared" si="22"/>
        <v>0</v>
      </c>
      <c r="Y38">
        <f t="shared" si="23"/>
        <v>0</v>
      </c>
      <c r="AD38" s="158">
        <f t="shared" si="25"/>
        <v>0</v>
      </c>
      <c r="AE38" s="158">
        <f t="shared" si="26"/>
        <v>0</v>
      </c>
      <c r="AF38" s="64" t="str">
        <f t="shared" si="27"/>
        <v xml:space="preserve"> </v>
      </c>
      <c r="AG38" s="169">
        <f t="shared" si="28"/>
        <v>0</v>
      </c>
      <c r="AH38" s="169">
        <f t="shared" si="29"/>
        <v>0</v>
      </c>
      <c r="AI38" s="64" t="str">
        <f t="shared" si="30"/>
        <v xml:space="preserve"> </v>
      </c>
      <c r="AJ38" s="169" t="str">
        <f t="shared" si="31"/>
        <v/>
      </c>
      <c r="AK38" s="169" t="str">
        <f t="shared" si="32"/>
        <v/>
      </c>
      <c r="AL38" s="64" t="str">
        <f t="shared" si="33"/>
        <v xml:space="preserve"> </v>
      </c>
    </row>
    <row r="39" spans="1:38" ht="15.75" x14ac:dyDescent="0.25">
      <c r="A39" s="2">
        <f t="shared" si="24"/>
        <v>46355</v>
      </c>
      <c r="B39" s="2">
        <f t="shared" si="15"/>
        <v>84</v>
      </c>
      <c r="C39" s="54" t="str">
        <f t="shared" si="0"/>
        <v>29.11. niedziela</v>
      </c>
      <c r="D39" s="159" t="s">
        <v>47</v>
      </c>
      <c r="E39" s="117" t="str">
        <f t="shared" si="16"/>
        <v>wolne</v>
      </c>
      <c r="F39" s="115"/>
      <c r="G39" s="115"/>
      <c r="H39" s="55" t="str">
        <f t="shared" si="1"/>
        <v/>
      </c>
      <c r="I39" s="55" t="str">
        <f t="shared" si="2"/>
        <v/>
      </c>
      <c r="J39" s="56" t="str">
        <f t="shared" si="3"/>
        <v/>
      </c>
      <c r="K39" s="57">
        <f t="shared" si="34"/>
        <v>0</v>
      </c>
      <c r="L39" s="57">
        <f t="shared" si="17"/>
        <v>0</v>
      </c>
      <c r="M39" s="58" t="str">
        <f t="shared" si="4"/>
        <v>przerwa1</v>
      </c>
      <c r="N39" s="57">
        <f t="shared" si="18"/>
        <v>0</v>
      </c>
      <c r="O39" s="138"/>
      <c r="P39" s="149"/>
      <c r="Q39" s="138"/>
      <c r="R39" s="8"/>
      <c r="S39" s="60" t="str">
        <f t="shared" si="5"/>
        <v xml:space="preserve"> </v>
      </c>
      <c r="T39" s="60" t="str">
        <f t="shared" si="19"/>
        <v xml:space="preserve"> </v>
      </c>
      <c r="U39" s="60" t="str">
        <f t="shared" si="20"/>
        <v xml:space="preserve"> </v>
      </c>
      <c r="W39">
        <f t="shared" si="21"/>
        <v>0</v>
      </c>
      <c r="X39">
        <f t="shared" si="22"/>
        <v>0</v>
      </c>
      <c r="Y39">
        <f t="shared" si="23"/>
        <v>0</v>
      </c>
      <c r="AD39" s="158">
        <f t="shared" si="25"/>
        <v>0</v>
      </c>
      <c r="AE39" s="158">
        <f t="shared" si="26"/>
        <v>0</v>
      </c>
      <c r="AF39" s="64" t="str">
        <f t="shared" si="27"/>
        <v xml:space="preserve"> </v>
      </c>
      <c r="AG39" s="169">
        <f t="shared" si="28"/>
        <v>0</v>
      </c>
      <c r="AH39" s="169">
        <f t="shared" si="29"/>
        <v>0</v>
      </c>
      <c r="AI39" s="64" t="str">
        <f t="shared" si="30"/>
        <v xml:space="preserve"> </v>
      </c>
      <c r="AJ39" s="169" t="str">
        <f t="shared" si="31"/>
        <v/>
      </c>
      <c r="AK39" s="169" t="str">
        <f t="shared" si="32"/>
        <v/>
      </c>
      <c r="AL39" s="64" t="str">
        <f t="shared" si="33"/>
        <v xml:space="preserve"> </v>
      </c>
    </row>
    <row r="40" spans="1:38" ht="15.75" x14ac:dyDescent="0.25">
      <c r="A40" s="2">
        <f t="shared" si="24"/>
        <v>46356</v>
      </c>
      <c r="B40" s="2">
        <f t="shared" si="15"/>
        <v>84</v>
      </c>
      <c r="C40" s="54" t="str">
        <f t="shared" si="0"/>
        <v>30.11. poniedziałek</v>
      </c>
      <c r="D40" s="159"/>
      <c r="E40" s="117" t="str">
        <f t="shared" si="16"/>
        <v xml:space="preserve"> </v>
      </c>
      <c r="F40" s="115">
        <v>8</v>
      </c>
      <c r="G40" s="115">
        <v>16</v>
      </c>
      <c r="H40" s="55">
        <f t="shared" si="1"/>
        <v>8</v>
      </c>
      <c r="I40" s="55">
        <f t="shared" si="2"/>
        <v>0</v>
      </c>
      <c r="J40" s="56">
        <f t="shared" si="3"/>
        <v>0</v>
      </c>
      <c r="K40" s="57">
        <f t="shared" si="34"/>
        <v>1</v>
      </c>
      <c r="L40" s="57">
        <f t="shared" si="17"/>
        <v>0</v>
      </c>
      <c r="M40" s="58" t="str">
        <f t="shared" si="4"/>
        <v>przerwa1</v>
      </c>
      <c r="N40" s="57">
        <f t="shared" si="18"/>
        <v>1</v>
      </c>
      <c r="O40" s="138"/>
      <c r="P40" s="149"/>
      <c r="Q40" s="138"/>
      <c r="R40" s="8"/>
      <c r="S40" s="60">
        <f t="shared" si="5"/>
        <v>0</v>
      </c>
      <c r="T40" s="60" t="str">
        <f t="shared" si="19"/>
        <v xml:space="preserve"> </v>
      </c>
      <c r="U40" s="60" t="str">
        <f t="shared" si="20"/>
        <v xml:space="preserve"> </v>
      </c>
      <c r="W40">
        <f t="shared" si="21"/>
        <v>480</v>
      </c>
      <c r="X40">
        <f t="shared" si="22"/>
        <v>0</v>
      </c>
      <c r="Y40">
        <f t="shared" si="23"/>
        <v>480</v>
      </c>
      <c r="AD40" s="158">
        <f t="shared" si="25"/>
        <v>8</v>
      </c>
      <c r="AE40" s="158">
        <f t="shared" si="26"/>
        <v>0</v>
      </c>
      <c r="AF40" s="64">
        <f t="shared" si="27"/>
        <v>8</v>
      </c>
      <c r="AG40" s="169">
        <f t="shared" si="28"/>
        <v>16</v>
      </c>
      <c r="AH40" s="169">
        <f t="shared" si="29"/>
        <v>0</v>
      </c>
      <c r="AI40" s="64">
        <f t="shared" si="30"/>
        <v>16</v>
      </c>
      <c r="AJ40" s="169">
        <f t="shared" si="31"/>
        <v>8</v>
      </c>
      <c r="AK40" s="169">
        <f t="shared" si="32"/>
        <v>0</v>
      </c>
      <c r="AL40" s="64">
        <f t="shared" si="33"/>
        <v>8</v>
      </c>
    </row>
    <row r="41" spans="1:38" ht="15.75" x14ac:dyDescent="0.25">
      <c r="A41" s="2">
        <f t="shared" si="24"/>
        <v>46357</v>
      </c>
      <c r="B41" s="2">
        <f t="shared" si="15"/>
        <v>84</v>
      </c>
      <c r="C41" s="54"/>
      <c r="D41" s="159"/>
      <c r="E41" s="117"/>
      <c r="F41" s="115"/>
      <c r="G41" s="115"/>
      <c r="H41" s="55"/>
      <c r="I41" s="55"/>
      <c r="J41" s="56"/>
      <c r="K41" s="57"/>
      <c r="L41" s="57"/>
      <c r="M41" s="61"/>
      <c r="N41" s="57"/>
      <c r="O41" s="138"/>
      <c r="P41" s="149"/>
      <c r="Q41" s="138"/>
      <c r="R41" s="8"/>
      <c r="S41" s="60" t="str">
        <f t="shared" si="5"/>
        <v xml:space="preserve"> </v>
      </c>
      <c r="T41" s="60" t="str">
        <f t="shared" si="19"/>
        <v xml:space="preserve"> </v>
      </c>
      <c r="U41" s="60" t="str">
        <f t="shared" si="20"/>
        <v xml:space="preserve"> </v>
      </c>
      <c r="W41">
        <f t="shared" si="21"/>
        <v>0</v>
      </c>
      <c r="X41">
        <f t="shared" si="22"/>
        <v>0</v>
      </c>
      <c r="Y41">
        <f t="shared" si="23"/>
        <v>0</v>
      </c>
      <c r="AD41" s="158">
        <f t="shared" si="25"/>
        <v>0</v>
      </c>
      <c r="AE41" s="158">
        <f t="shared" si="26"/>
        <v>0</v>
      </c>
      <c r="AF41" s="64" t="str">
        <f t="shared" si="27"/>
        <v xml:space="preserve"> </v>
      </c>
      <c r="AG41" s="169">
        <f t="shared" si="28"/>
        <v>0</v>
      </c>
      <c r="AH41" s="169">
        <f t="shared" si="29"/>
        <v>0</v>
      </c>
      <c r="AI41" s="64" t="str">
        <f t="shared" si="30"/>
        <v xml:space="preserve"> </v>
      </c>
      <c r="AJ41" s="169" t="str">
        <f t="shared" si="31"/>
        <v/>
      </c>
      <c r="AK41" s="169" t="str">
        <f t="shared" si="32"/>
        <v/>
      </c>
      <c r="AL41" s="64" t="str">
        <f t="shared" si="33"/>
        <v xml:space="preserve"> </v>
      </c>
    </row>
    <row r="42" spans="1:38" ht="15.75" x14ac:dyDescent="0.25">
      <c r="A42" s="1"/>
      <c r="B42" s="1"/>
      <c r="C42" s="54"/>
      <c r="D42" s="116"/>
      <c r="E42" s="117"/>
      <c r="F42" s="116"/>
      <c r="G42" s="116"/>
      <c r="H42" s="55"/>
      <c r="I42" s="59"/>
      <c r="J42" s="59"/>
      <c r="K42" s="57">
        <f t="shared" si="34"/>
        <v>1</v>
      </c>
      <c r="L42" s="57">
        <f>IF(OR((D42="c"),(D42="u")),1,0)</f>
        <v>0</v>
      </c>
      <c r="M42" s="63"/>
      <c r="N42" s="57">
        <f>IF(OR((B42=83),(D42="w"),(D42="g"),(D42="c"),(D42="u")),0,1)</f>
        <v>1</v>
      </c>
      <c r="O42" s="64">
        <f>TRUNC(SUM(O11:O41)/60)+((SUM(O11:O41)/60)-(TRUNC(SUM(O11:O41)/60)))*60/100</f>
        <v>0</v>
      </c>
      <c r="P42" t="s">
        <v>132</v>
      </c>
      <c r="Q42" s="8"/>
      <c r="R42" s="8"/>
      <c r="S42" s="65">
        <f>SUM(S11:S41)</f>
        <v>0</v>
      </c>
      <c r="T42" s="66">
        <f>SUM(T11:T41)</f>
        <v>0</v>
      </c>
      <c r="U42" s="66">
        <f>SUM(U11:U41)</f>
        <v>0</v>
      </c>
    </row>
    <row r="43" spans="1:38" x14ac:dyDescent="0.25">
      <c r="A43" s="1"/>
      <c r="B43" s="1"/>
      <c r="C43" s="67"/>
      <c r="D43" s="21"/>
      <c r="E43" s="21"/>
      <c r="F43" s="21"/>
      <c r="G43" s="21"/>
      <c r="H43" s="21"/>
      <c r="I43" s="68"/>
      <c r="J43" s="68"/>
      <c r="K43" s="69"/>
      <c r="L43" s="69"/>
      <c r="M43" s="69"/>
      <c r="N43" s="70"/>
      <c r="O43" s="144"/>
      <c r="P43" s="8"/>
      <c r="Q43" s="8"/>
      <c r="R43" s="8"/>
      <c r="S43" s="71">
        <f>S42/60</f>
        <v>0</v>
      </c>
      <c r="T43" s="66"/>
      <c r="U43" s="8"/>
    </row>
    <row r="44" spans="1:38" x14ac:dyDescent="0.25">
      <c r="A44" s="1"/>
      <c r="B44" s="1"/>
      <c r="C44" s="67" t="s">
        <v>30</v>
      </c>
      <c r="D44" s="21"/>
      <c r="E44" s="72">
        <f>SUM(K11:K41)</f>
        <v>20</v>
      </c>
      <c r="F44" s="21" t="s">
        <v>31</v>
      </c>
      <c r="G44" s="21"/>
      <c r="H44" s="21"/>
      <c r="I44" s="73" t="s">
        <v>32</v>
      </c>
      <c r="J44" s="72">
        <f>SUM(N11:N41)</f>
        <v>20</v>
      </c>
      <c r="K44" s="74" t="s">
        <v>31</v>
      </c>
      <c r="L44" s="74"/>
      <c r="M44" s="74"/>
      <c r="N44" s="30"/>
      <c r="O44" s="141" t="s">
        <v>31</v>
      </c>
      <c r="P44" s="8"/>
      <c r="W44">
        <f>((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60)</f>
        <v>9600</v>
      </c>
      <c r="X44">
        <f>(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-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100)</f>
        <v>0</v>
      </c>
      <c r="Y44">
        <f>((TRUNC(O42)*60)+(O42-TRUNC(O42))*100)</f>
        <v>0</v>
      </c>
      <c r="Z44">
        <f>W44+X44+Y44</f>
        <v>9600</v>
      </c>
      <c r="AA44">
        <f>Z44/60</f>
        <v>160</v>
      </c>
      <c r="AB44">
        <f>TRUNC(AA44)</f>
        <v>160</v>
      </c>
      <c r="AC44">
        <f>(AA44-AB44)*60/100</f>
        <v>0</v>
      </c>
      <c r="AD44">
        <f>AB44+AC44</f>
        <v>160</v>
      </c>
    </row>
    <row r="45" spans="1:38" x14ac:dyDescent="0.25">
      <c r="A45" s="1"/>
      <c r="B45" s="1"/>
      <c r="C45" s="75" t="s">
        <v>33</v>
      </c>
      <c r="D45" s="21"/>
      <c r="E45" s="76">
        <f>ROUND(SUM(K11:K41)*godz,2)</f>
        <v>160</v>
      </c>
      <c r="F45" s="21" t="s">
        <v>34</v>
      </c>
      <c r="G45" s="21"/>
      <c r="H45" s="21"/>
      <c r="I45" s="73" t="s">
        <v>35</v>
      </c>
      <c r="J45" s="76">
        <f>AB44+AC44</f>
        <v>160</v>
      </c>
      <c r="K45" s="74" t="s">
        <v>34</v>
      </c>
      <c r="L45" s="74"/>
      <c r="M45" s="74"/>
      <c r="N45" s="30"/>
      <c r="O45" s="141" t="s">
        <v>34</v>
      </c>
      <c r="P45" s="8"/>
    </row>
    <row r="46" spans="1:38" x14ac:dyDescent="0.25">
      <c r="A46" s="1"/>
      <c r="B46" s="1"/>
      <c r="C46" s="67"/>
      <c r="D46" s="21"/>
      <c r="E46" s="76"/>
      <c r="F46" s="21"/>
      <c r="G46" s="21"/>
      <c r="H46" s="21"/>
      <c r="I46" s="73"/>
      <c r="J46" s="76"/>
      <c r="K46" s="74"/>
      <c r="L46" s="74"/>
      <c r="M46" s="74"/>
      <c r="N46" s="30"/>
      <c r="O46" s="141"/>
      <c r="P46" s="8"/>
    </row>
    <row r="47" spans="1:38" x14ac:dyDescent="0.25">
      <c r="A47" s="1"/>
      <c r="B47" s="1"/>
      <c r="C47" s="67"/>
      <c r="D47" s="21"/>
      <c r="E47" s="76"/>
      <c r="F47" s="21"/>
      <c r="G47" s="21"/>
      <c r="H47" s="21"/>
      <c r="I47" s="73" t="s">
        <v>36</v>
      </c>
      <c r="J47" s="72">
        <f>SUM(L11:L41)</f>
        <v>0</v>
      </c>
      <c r="K47" s="74" t="s">
        <v>37</v>
      </c>
      <c r="L47" s="74"/>
      <c r="M47" s="74"/>
      <c r="N47" s="30"/>
      <c r="O47" s="141" t="s">
        <v>37</v>
      </c>
      <c r="P47" s="8"/>
    </row>
    <row r="48" spans="1:38" x14ac:dyDescent="0.25">
      <c r="A48" s="1"/>
      <c r="B48" s="1"/>
      <c r="C48" s="67"/>
      <c r="D48" s="21"/>
      <c r="E48" s="21"/>
      <c r="F48" s="21"/>
      <c r="G48" s="21"/>
      <c r="H48" s="21"/>
      <c r="I48" s="73" t="s">
        <v>147</v>
      </c>
      <c r="J48" s="162"/>
      <c r="K48" s="78"/>
      <c r="L48" s="78"/>
      <c r="M48" s="78"/>
      <c r="N48" s="79"/>
      <c r="O48" s="141"/>
      <c r="P48" s="8"/>
    </row>
    <row r="49" spans="3:16" x14ac:dyDescent="0.25">
      <c r="C49" s="80" t="s">
        <v>61</v>
      </c>
      <c r="D49" s="21"/>
      <c r="E49" s="76">
        <f>TRUNC((((TRUNC(J45)*60)+(J45-TRUNC(J45))*100)-E45*60)/60)+((((((TRUNC(J45)*60)+(J45-TRUNC(J45))*100)-E45*60)/60)-TRUNC((((TRUNC(J45)*60)+(J45-TRUNC(J45))*100)-E45*60)/60))*60/100)</f>
        <v>0</v>
      </c>
      <c r="F49" s="21" t="s">
        <v>34</v>
      </c>
      <c r="G49" s="8"/>
      <c r="H49" s="73"/>
      <c r="I49" s="73" t="s">
        <v>148</v>
      </c>
      <c r="J49" s="76">
        <f>TRUNC((((ROUND(J47*godz,2))*60)-(TRUNC(J48)*60+(J48-TRUNC(J48))*100))/60)+((((((ROUND(J47*godz,2))*60)-(TRUNC(J48)*60+(J48-TRUNC(J48))*100))/60)-TRUNC((((ROUND(J47*godz,2))*60)-(TRUNC(J48)*60+(J48-TRUNC(J48))*100))/60))*60/100)</f>
        <v>0</v>
      </c>
      <c r="K49" s="77"/>
      <c r="L49" s="21"/>
      <c r="M49" s="21"/>
      <c r="N49" s="30"/>
      <c r="O49" s="142"/>
      <c r="P49" s="21"/>
    </row>
    <row r="50" spans="3:16" ht="15.75" thickBot="1" x14ac:dyDescent="0.3">
      <c r="C50" s="163" t="s">
        <v>38</v>
      </c>
      <c r="D50" s="164"/>
      <c r="E50" s="165">
        <f>J49</f>
        <v>0</v>
      </c>
      <c r="F50" s="164" t="s">
        <v>34</v>
      </c>
      <c r="G50" s="82"/>
      <c r="H50" s="21"/>
      <c r="I50" s="83"/>
      <c r="J50" s="83"/>
      <c r="K50" s="21"/>
      <c r="L50" s="21"/>
      <c r="M50" s="21"/>
      <c r="N50" s="30"/>
      <c r="O50" s="30"/>
      <c r="P50" s="8"/>
    </row>
    <row r="51" spans="3:16" ht="15.75" thickBot="1" x14ac:dyDescent="0.3">
      <c r="C51" s="166" t="s">
        <v>134</v>
      </c>
      <c r="D51" s="164"/>
      <c r="E51" s="165">
        <f>TRUNC(((TRUNC(J45)*60+(J45-TRUNC(J45))*100)+(TRUNC(J49)*60+(J49-TRUNC(J49))*100))/60)+((((TRUNC(J45)*60+(J45-TRUNC(J45))*100)+(TRUNC(J49)*60+(J49-TRUNC(J49))*100))/60)-TRUNC(((TRUNC(J45)*60+(J45-TRUNC(J45))*100)+(TRUNC(J49)*60+(J49-TRUNC(J49))*100))/60))*60/100</f>
        <v>160</v>
      </c>
      <c r="F51" s="164" t="s">
        <v>34</v>
      </c>
      <c r="G51" s="21"/>
      <c r="H51" s="21"/>
      <c r="I51" s="83" t="s">
        <v>39</v>
      </c>
      <c r="J51" s="84">
        <f>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+(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-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)*60/100)</f>
        <v>0</v>
      </c>
      <c r="K51" s="83" t="s">
        <v>34</v>
      </c>
      <c r="L51" s="83"/>
      <c r="M51" s="85"/>
      <c r="N51" s="30"/>
      <c r="O51" s="143" t="s">
        <v>34</v>
      </c>
      <c r="P51" s="8"/>
    </row>
    <row r="52" spans="3:16" ht="15.75" thickBot="1" x14ac:dyDescent="0.3">
      <c r="C52" s="86"/>
      <c r="D52" s="87"/>
      <c r="E52" s="88" t="s">
        <v>40</v>
      </c>
      <c r="F52" s="89"/>
      <c r="G52" s="87"/>
      <c r="H52" s="87"/>
      <c r="I52" s="88" t="s">
        <v>40</v>
      </c>
      <c r="J52" s="88" t="s">
        <v>41</v>
      </c>
      <c r="K52" s="87"/>
      <c r="L52" s="87"/>
      <c r="M52" s="87"/>
      <c r="N52" s="90"/>
      <c r="O52" s="90"/>
      <c r="P52" s="8"/>
    </row>
    <row r="53" spans="3:16" x14ac:dyDescent="0.25">
      <c r="C53" s="91" t="s">
        <v>42</v>
      </c>
      <c r="D53" s="13"/>
      <c r="E53" s="13"/>
      <c r="F53" s="13"/>
      <c r="G53" s="13"/>
      <c r="H53" s="13"/>
      <c r="I53" s="92"/>
      <c r="J53" s="92"/>
      <c r="K53" s="92"/>
      <c r="L53" s="92"/>
      <c r="M53" s="92"/>
      <c r="N53" s="93"/>
      <c r="O53" s="147"/>
      <c r="P53" s="8"/>
    </row>
    <row r="54" spans="3:16" x14ac:dyDescent="0.25">
      <c r="C54" s="67" t="s">
        <v>43</v>
      </c>
      <c r="D54" s="21"/>
      <c r="E54" s="94">
        <f>'Oktober 2026'!J54</f>
        <v>6.56</v>
      </c>
      <c r="F54" s="83" t="s">
        <v>34</v>
      </c>
      <c r="G54" s="21"/>
      <c r="H54" s="21"/>
      <c r="I54" s="95" t="s">
        <v>44</v>
      </c>
      <c r="J54" s="98">
        <f>TRUNC(SUM(((TRUNC(J51)*60)+((J51-TRUNC(J51))*100)),(TRUNC(E54)*60)+((E54-TRUNC(E54))*100))/60)+((SUM(((TRUNC(J51)*60)+((J51-TRUNC(J51))*100)),(TRUNC(E54)*60)+((E54-TRUNC(E54))*100))/60)-TRUNC((SUM(((TRUNC(J51)*60)+((J51-TRUNC(J51))*100)),(TRUNC(E54)*60)+((E54-TRUNC(E54))*100))/60)))*60/100</f>
        <v>6.56</v>
      </c>
      <c r="K54" s="96" t="s">
        <v>34</v>
      </c>
      <c r="L54" s="81"/>
      <c r="M54" s="81"/>
      <c r="N54" s="30"/>
      <c r="O54" s="145" t="s">
        <v>34</v>
      </c>
      <c r="P54" s="8"/>
    </row>
    <row r="55" spans="3:16" ht="15.75" thickBot="1" x14ac:dyDescent="0.3">
      <c r="C55" s="86"/>
      <c r="D55" s="87"/>
      <c r="E55" s="87"/>
      <c r="F55" s="87"/>
      <c r="G55" s="87"/>
      <c r="H55" s="87"/>
      <c r="I55" s="97"/>
      <c r="J55" s="97"/>
      <c r="K55" s="97"/>
      <c r="L55" s="97"/>
      <c r="M55" s="97"/>
      <c r="N55" s="90"/>
      <c r="O55" s="146"/>
      <c r="P55" s="8"/>
    </row>
    <row r="56" spans="3:16" x14ac:dyDescent="0.25">
      <c r="C56" s="10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</row>
    <row r="57" spans="3:16" x14ac:dyDescent="0.25">
      <c r="C57" s="6">
        <f>SUM(K11:K41)</f>
        <v>20</v>
      </c>
    </row>
    <row r="58" spans="3:16" x14ac:dyDescent="0.25">
      <c r="E58" s="161"/>
    </row>
  </sheetData>
  <sheetProtection selectLockedCells="1"/>
  <mergeCells count="3">
    <mergeCell ref="E2:F2"/>
    <mergeCell ref="E3:F3"/>
    <mergeCell ref="E4:F4"/>
  </mergeCells>
  <pageMargins left="0.7" right="0.7" top="0.75" bottom="0.75" header="0.3" footer="0.3"/>
  <pageSetup paperSize="9"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Dane!$A$1:$A$12</xm:f>
          </x14:formula1>
          <xm:sqref>D11:D41</xm:sqref>
        </x14:dataValidation>
        <x14:dataValidation type="list" allowBlank="1" showInputMessage="1" showErrorMessage="1">
          <x14:formula1>
            <xm:f>Dane!$G$2:$G$16</xm:f>
          </x14:formula1>
          <xm:sqref>P11:P41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2"/>
  <dimension ref="A1:AL64"/>
  <sheetViews>
    <sheetView topLeftCell="C8" zoomScaleNormal="100" workbookViewId="0">
      <selection activeCell="F35" sqref="F35"/>
    </sheetView>
  </sheetViews>
  <sheetFormatPr defaultColWidth="9.140625" defaultRowHeight="15" x14ac:dyDescent="0.25"/>
  <cols>
    <col min="1" max="1" width="3.42578125" hidden="1" customWidth="1"/>
    <col min="2" max="2" width="3" hidden="1" customWidth="1"/>
    <col min="3" max="3" width="19.85546875" customWidth="1"/>
    <col min="4" max="4" width="3.7109375" customWidth="1"/>
    <col min="5" max="5" width="14.28515625" bestFit="1" customWidth="1"/>
    <col min="8" max="8" width="7.42578125" customWidth="1"/>
    <col min="9" max="9" width="15.5703125" bestFit="1" customWidth="1"/>
    <col min="10" max="10" width="10" bestFit="1" customWidth="1"/>
    <col min="11" max="11" width="7.85546875" hidden="1" customWidth="1"/>
    <col min="12" max="12" width="8.5703125" hidden="1" customWidth="1"/>
    <col min="13" max="13" width="8.7109375" hidden="1" customWidth="1"/>
    <col min="14" max="14" width="11.140625" hidden="1" customWidth="1"/>
    <col min="15" max="15" width="14.7109375" customWidth="1"/>
    <col min="17" max="17" width="13.28515625" customWidth="1"/>
    <col min="19" max="19" width="9.140625" hidden="1" customWidth="1"/>
    <col min="20" max="20" width="13.85546875" customWidth="1"/>
    <col min="21" max="21" width="14.85546875" customWidth="1"/>
    <col min="23" max="30" width="9.140625" hidden="1" customWidth="1"/>
    <col min="31" max="31" width="0" hidden="1" customWidth="1"/>
    <col min="32" max="32" width="12.28515625" bestFit="1" customWidth="1"/>
    <col min="33" max="34" width="0" hidden="1" customWidth="1"/>
    <col min="35" max="35" width="16" bestFit="1" customWidth="1"/>
    <col min="36" max="37" width="9.140625" hidden="1" customWidth="1"/>
    <col min="38" max="38" width="13.140625" bestFit="1" customWidth="1"/>
  </cols>
  <sheetData>
    <row r="1" spans="1:38" ht="18.75" thickBot="1" x14ac:dyDescent="0.3">
      <c r="A1" s="5" t="s">
        <v>48</v>
      </c>
      <c r="B1" s="1"/>
      <c r="C1" s="103" t="s">
        <v>0</v>
      </c>
      <c r="D1" s="104">
        <v>12</v>
      </c>
      <c r="E1" s="102"/>
      <c r="F1" s="102"/>
      <c r="G1" s="103" t="s">
        <v>1</v>
      </c>
      <c r="H1" s="105" t="str">
        <f>'Januar 2026'!rok</f>
        <v>2026</v>
      </c>
      <c r="I1" s="106" t="s">
        <v>2</v>
      </c>
      <c r="J1" s="104">
        <v>8</v>
      </c>
      <c r="K1" s="108"/>
      <c r="L1" s="109"/>
      <c r="M1" s="109"/>
      <c r="N1" s="110"/>
      <c r="O1" s="8"/>
      <c r="P1" s="8"/>
      <c r="Q1" s="9" t="str">
        <f>Dane!A2</f>
        <v>w</v>
      </c>
      <c r="R1" s="10" t="str">
        <f>Dane!B2</f>
        <v>dzień wolny ustawowo</v>
      </c>
      <c r="S1" s="8"/>
      <c r="T1" s="8"/>
      <c r="U1" s="123" t="str">
        <f>Dane!A9</f>
        <v>oc</v>
      </c>
      <c r="V1" s="8" t="str">
        <f>Dane!B9</f>
        <v>opieka nad chorym dzieckiem</v>
      </c>
    </row>
    <row r="2" spans="1:38" x14ac:dyDescent="0.25">
      <c r="A2" s="2"/>
      <c r="B2" s="1"/>
      <c r="C2" s="11"/>
      <c r="D2" s="11" t="s">
        <v>4</v>
      </c>
      <c r="E2" s="175"/>
      <c r="F2" s="176"/>
      <c r="G2" s="16"/>
      <c r="H2" s="17"/>
      <c r="I2" s="28" t="s">
        <v>5</v>
      </c>
      <c r="J2" s="101">
        <v>40</v>
      </c>
      <c r="K2" s="12" t="s">
        <v>6</v>
      </c>
      <c r="L2" s="13"/>
      <c r="M2" s="13"/>
      <c r="N2" s="14"/>
      <c r="O2" s="12" t="s">
        <v>6</v>
      </c>
      <c r="P2" s="8"/>
      <c r="Q2" s="9" t="str">
        <f>Dane!A3</f>
        <v>u</v>
      </c>
      <c r="R2" s="10" t="str">
        <f>Dane!B3</f>
        <v>urlop</v>
      </c>
      <c r="S2" s="8"/>
      <c r="T2" s="8"/>
      <c r="U2" s="122" t="str">
        <f>Dane!A10</f>
        <v>um</v>
      </c>
      <c r="V2" s="8" t="str">
        <f>Dane!B10</f>
        <v>urlop macierzyński</v>
      </c>
    </row>
    <row r="3" spans="1:38" x14ac:dyDescent="0.25">
      <c r="A3" s="1"/>
      <c r="B3" s="1"/>
      <c r="C3" s="15"/>
      <c r="D3" s="15" t="s">
        <v>46</v>
      </c>
      <c r="E3" s="175"/>
      <c r="F3" s="176"/>
      <c r="G3" s="16"/>
      <c r="H3" s="17"/>
      <c r="I3" s="18"/>
      <c r="J3" s="19"/>
      <c r="K3" s="20"/>
      <c r="L3" s="21"/>
      <c r="M3" s="21"/>
      <c r="N3" s="22"/>
      <c r="O3" s="20"/>
      <c r="P3" s="8"/>
      <c r="Q3" s="9" t="str">
        <f>Dane!A4</f>
        <v>c</v>
      </c>
      <c r="R3" s="10" t="str">
        <f>Dane!B4</f>
        <v>choroba</v>
      </c>
      <c r="S3" s="8"/>
      <c r="T3" s="8"/>
      <c r="U3" s="122" t="str">
        <f>Dane!A11</f>
        <v>uz</v>
      </c>
      <c r="V3" s="8" t="str">
        <f>Dane!B11</f>
        <v>urlop zaplanowany</v>
      </c>
    </row>
    <row r="4" spans="1:38" ht="15.75" thickBot="1" x14ac:dyDescent="0.3">
      <c r="A4" s="3"/>
      <c r="B4" s="1"/>
      <c r="C4" s="15"/>
      <c r="D4" s="23" t="s">
        <v>11</v>
      </c>
      <c r="E4" s="175"/>
      <c r="F4" s="176"/>
      <c r="G4" s="16"/>
      <c r="H4" s="17"/>
      <c r="I4" s="18"/>
      <c r="J4" s="19"/>
      <c r="K4" s="20"/>
      <c r="L4" s="21"/>
      <c r="M4" s="21"/>
      <c r="N4" s="22"/>
      <c r="O4" s="20"/>
      <c r="P4" s="8"/>
      <c r="Q4" s="9" t="str">
        <f>Dane!A5</f>
        <v>g</v>
      </c>
      <c r="R4" s="10" t="str">
        <f>Dane!B5</f>
        <v xml:space="preserve">godz.(rządanie pracownika) </v>
      </c>
      <c r="S4" s="8"/>
      <c r="T4" s="8"/>
      <c r="U4" s="122" t="str">
        <f>Dane!A12</f>
        <v>gp</v>
      </c>
      <c r="V4" t="str">
        <f>Dane!B12</f>
        <v xml:space="preserve">godz.(rządanie pracodawcy) </v>
      </c>
    </row>
    <row r="5" spans="1:38" x14ac:dyDescent="0.25">
      <c r="A5" s="3"/>
      <c r="B5" s="1"/>
      <c r="C5" s="15"/>
      <c r="D5" s="24"/>
      <c r="E5" s="25"/>
      <c r="F5" s="26"/>
      <c r="G5" s="27"/>
      <c r="H5" s="17"/>
      <c r="I5" s="28" t="s">
        <v>12</v>
      </c>
      <c r="J5" s="111">
        <v>0</v>
      </c>
      <c r="K5" s="29" t="s">
        <v>13</v>
      </c>
      <c r="L5" s="21"/>
      <c r="M5" s="21"/>
      <c r="N5" s="30"/>
      <c r="O5" s="29" t="s">
        <v>13</v>
      </c>
      <c r="P5" s="8"/>
      <c r="Q5" s="9" t="str">
        <f>Dane!A6</f>
        <v>s</v>
      </c>
      <c r="R5" s="10" t="str">
        <f>Dane!B6</f>
        <v>urlop specjalny/okolicznościow</v>
      </c>
      <c r="S5" s="8"/>
      <c r="T5" s="8"/>
      <c r="U5" s="9"/>
    </row>
    <row r="6" spans="1:38" x14ac:dyDescent="0.25">
      <c r="A6" s="3"/>
      <c r="B6" s="1"/>
      <c r="C6" s="15"/>
      <c r="D6" s="23"/>
      <c r="E6" s="31"/>
      <c r="F6" s="32"/>
      <c r="G6" s="33"/>
      <c r="H6" s="17"/>
      <c r="I6" s="21"/>
      <c r="J6" s="112">
        <v>0</v>
      </c>
      <c r="K6" s="29" t="s">
        <v>16</v>
      </c>
      <c r="L6" s="21"/>
      <c r="M6" s="21"/>
      <c r="N6" s="30"/>
      <c r="O6" s="29" t="s">
        <v>16</v>
      </c>
      <c r="P6" s="8"/>
      <c r="Q6" s="9" t="str">
        <f>Dane!A7</f>
        <v>a</v>
      </c>
      <c r="R6" s="10" t="str">
        <f>Dane!B7</f>
        <v>nieobecny</v>
      </c>
      <c r="S6" s="8"/>
      <c r="T6" s="8"/>
      <c r="U6" s="8"/>
    </row>
    <row r="7" spans="1:38" ht="15.75" thickBot="1" x14ac:dyDescent="0.3">
      <c r="A7" s="1"/>
      <c r="B7" s="1"/>
      <c r="C7" s="34"/>
      <c r="D7" s="35"/>
      <c r="E7" s="35"/>
      <c r="F7" s="35"/>
      <c r="G7" s="35"/>
      <c r="H7" s="17"/>
      <c r="I7" s="28" t="s">
        <v>17</v>
      </c>
      <c r="J7" s="113">
        <v>8</v>
      </c>
      <c r="K7" s="20" t="s">
        <v>18</v>
      </c>
      <c r="L7" s="21"/>
      <c r="M7" s="21"/>
      <c r="N7" s="30"/>
      <c r="O7" s="20" t="s">
        <v>18</v>
      </c>
      <c r="P7" s="8"/>
      <c r="Q7" s="9" t="str">
        <f>Dane!A8</f>
        <v>op</v>
      </c>
      <c r="R7" s="10" t="str">
        <f>Dane!B8</f>
        <v>opieka nad zdrowym dzieckiem</v>
      </c>
      <c r="S7" s="8"/>
      <c r="T7" s="8"/>
      <c r="U7" s="8"/>
    </row>
    <row r="8" spans="1:38" ht="23.25" x14ac:dyDescent="0.35">
      <c r="A8" s="2"/>
      <c r="B8" s="2"/>
      <c r="C8" s="99" t="s">
        <v>45</v>
      </c>
      <c r="D8" s="7"/>
      <c r="E8" s="7"/>
      <c r="F8" s="100" t="str">
        <f>TEXT(DATE(H1,D1,1),"MMMM rrrr")</f>
        <v>grudzień 2026</v>
      </c>
      <c r="G8" s="36"/>
      <c r="H8" s="37"/>
      <c r="I8" s="38"/>
      <c r="J8" s="39"/>
      <c r="K8" s="39"/>
      <c r="L8" s="39"/>
      <c r="M8" s="39"/>
      <c r="N8" s="40"/>
      <c r="O8" s="41"/>
      <c r="P8" s="42"/>
      <c r="Q8" s="41"/>
      <c r="R8" s="42"/>
      <c r="S8" s="41"/>
      <c r="T8" s="41"/>
      <c r="U8" s="42"/>
    </row>
    <row r="9" spans="1:38" ht="15.75" thickBot="1" x14ac:dyDescent="0.3">
      <c r="A9" s="2"/>
      <c r="B9" s="2"/>
      <c r="C9" s="43"/>
      <c r="D9" s="44" t="s">
        <v>21</v>
      </c>
      <c r="E9" s="45" t="str">
        <f>TEXT(F9,"DDDD ")</f>
        <v xml:space="preserve">wtorek </v>
      </c>
      <c r="F9" s="45">
        <f>DATE(H1,D1,1)</f>
        <v>46357</v>
      </c>
      <c r="G9" s="44" t="s">
        <v>22</v>
      </c>
      <c r="H9" s="46" t="str">
        <f>TEXT(I9,"DDDD ")</f>
        <v xml:space="preserve">środa </v>
      </c>
      <c r="I9" s="45">
        <f>DATE(YEAR(F9),MONTH(F9+31),DAY(F9))-1</f>
        <v>46022</v>
      </c>
      <c r="J9" s="47"/>
      <c r="K9" s="47"/>
      <c r="L9" s="47"/>
      <c r="M9" s="47"/>
      <c r="N9" s="30"/>
      <c r="O9" s="48"/>
      <c r="P9" s="49"/>
      <c r="Q9" s="48"/>
      <c r="R9" s="49"/>
      <c r="S9" s="48"/>
      <c r="T9" s="48"/>
      <c r="U9" s="49"/>
    </row>
    <row r="10" spans="1:38" ht="52.5" thickBot="1" x14ac:dyDescent="0.3">
      <c r="A10" s="4"/>
      <c r="B10" s="4"/>
      <c r="C10" s="50" t="s">
        <v>23</v>
      </c>
      <c r="D10" s="51"/>
      <c r="E10" s="51" t="s">
        <v>24</v>
      </c>
      <c r="F10" s="51" t="s">
        <v>25</v>
      </c>
      <c r="G10" s="51" t="s">
        <v>26</v>
      </c>
      <c r="H10" s="51" t="s">
        <v>27</v>
      </c>
      <c r="I10" s="51" t="s">
        <v>137</v>
      </c>
      <c r="J10" s="51" t="s">
        <v>28</v>
      </c>
      <c r="K10" s="51"/>
      <c r="L10" s="51" t="s">
        <v>100</v>
      </c>
      <c r="M10" s="51"/>
      <c r="N10" s="52"/>
      <c r="O10" s="114" t="s">
        <v>54</v>
      </c>
      <c r="P10" s="51" t="s">
        <v>105</v>
      </c>
      <c r="Q10" s="136" t="s">
        <v>101</v>
      </c>
      <c r="R10" s="53"/>
      <c r="S10" s="51"/>
      <c r="T10" s="114" t="s">
        <v>49</v>
      </c>
      <c r="U10" s="114" t="s">
        <v>50</v>
      </c>
      <c r="W10" t="s">
        <v>138</v>
      </c>
      <c r="X10" t="s">
        <v>139</v>
      </c>
      <c r="Y10" t="s">
        <v>140</v>
      </c>
      <c r="AF10" s="171" t="s">
        <v>152</v>
      </c>
      <c r="AG10" s="171"/>
      <c r="AH10" s="171"/>
      <c r="AI10" s="171" t="s">
        <v>153</v>
      </c>
      <c r="AJ10" s="171"/>
      <c r="AK10" s="171"/>
      <c r="AL10" s="171" t="s">
        <v>154</v>
      </c>
    </row>
    <row r="11" spans="1:38" ht="15.75" x14ac:dyDescent="0.25">
      <c r="A11" s="2">
        <f>DATE(H1,D1,1)</f>
        <v>46357</v>
      </c>
      <c r="B11" s="2">
        <f>CODE(TEXT(A11,"TTTT"))</f>
        <v>84</v>
      </c>
      <c r="C11" s="54" t="str">
        <f t="shared" ref="C11:C41" si="0">TEXT(A11,"DD.M. DDDD")</f>
        <v>01.12. wtorek</v>
      </c>
      <c r="D11" s="159"/>
      <c r="E11" s="117" t="str">
        <f>IF(D11="w","wolne",IF(D11="u","urlop",IF(D11="c","choroba",IF(D11="g","godziny",IF(D11="a","nieobecny"," ")))))</f>
        <v xml:space="preserve"> </v>
      </c>
      <c r="F11" s="115">
        <v>8</v>
      </c>
      <c r="G11" s="115">
        <v>16</v>
      </c>
      <c r="H11" s="55">
        <f t="shared" ref="H11:H41" si="1">IF(D11="d",(((((TRUNC(G11)-1)-TRUNC(F11))*60)+((G11-TRUNC(G11))*100)+(60-(F11-TRUNC(F11))*100))-(IF(M11&lt;przerwa1,pause,przerwa1)))/60,IF((OR((B11=83),(D11="u"),(D11="uz"),(D11="a"),(D11="c"),(D11="s"),(AND(D11="w",F11="")),(D11="oc"),(D11="um"),(D11="op"),(D11="oc"))),"",IF(OR(D11="g",AND(D11="gp",F11="")),0,TRUNC((((TRUNC(G11)*60+(G11-(TRUNC(G11)))*100)-(TRUNC(F11)*60+(F11-TRUNC(F11))*100))-(IF(M11&lt;przerwa1,pause,przerwa1)))/60)+(((((TRUNC(G11)*60+(G11-(TRUNC(G11)))*100)-(TRUNC(F11)*60+(F11-TRUNC(F11))*100))-(IF(M11&lt;przerwa1,pause,przerwa1)))/60)-TRUNC(((((TRUNC(G11)*60+(G11-(TRUNC(G11)))*100)-(TRUNC(F11)*60+(F11-TRUNC(F11))*100))-(IF(M11&lt;przerwa1,pause,przerwa1)))/60)))*60/100)))</f>
        <v>8</v>
      </c>
      <c r="I11" s="55">
        <f t="shared" ref="I11:I41" si="2">IF(AND(D11="gp",F11=""),-(TRUNC(godz/1.5)+((godz/1.5)-TRUNC(godz/1.5))*60/100),IF(AND(D11="gp",F11&lt;&gt;"",G11&lt;&gt;""),ROUND(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+(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-TRUNC((TRUNC(ROUND((TRUNC(H11-godz)+(((TRUNC(H11)*60)+(H11-TRUNC(H11))*100)-(godz*60)-(TRUNC(H11-godz)*60))/100),2))+((ROUND((TRUNC(H11-godz)+(((TRUNC(H11)*60)+(H11-TRUNC(H11))*100)-(godz*60)-(TRUNC(H11-godz)*60))/100),2)-TRUNC(ROUND((TRUNC(H11-godz)+(((TRUNC(H11)*60)+(H11-TRUNC(H11))*100)-(godz*60)-(TRUNC(H11-godz)*60))/100),2)))*100/60))/1.5))*60/100,2),IF(OR((B11=83),(D11="w"),(D11="s"),(D11="c"),(D11="a"),(D11="oc"),(D11="um"),(D11="op"),(D11="uz"),(D11="u")),"",ROUND((TRUNC(H11-godz)+(((TRUNC(H11)*60)+(H11-TRUNC(H11))*100)-(godz*60)-(TRUNC(H11-godz)*60))/100),2))))</f>
        <v>0</v>
      </c>
      <c r="J11" s="56">
        <f t="shared" ref="J11:J41" si="3">IF(D11="gp",(TRUNC(I11)*60+(I11-TRUNC(I11))*100),IF(OR((I11=""),(B11=83)),"",IF((I11=0),0,TRUNC(H11-godz)*60+(((TRUNC(H11)*60)+(H11-TRUNC(H11))*100)-(godz*60)-(TRUNC(H11-godz)*60)))))</f>
        <v>0</v>
      </c>
      <c r="K11" s="57">
        <f>IF(OR((B11=83),(D11="w")),0,1)</f>
        <v>1</v>
      </c>
      <c r="L11" s="57">
        <f>IF(OR((D11="c"),(D11="u"),(D11="uz"),(D11="um"),(D11="op"),(D11="oc"),(D11="s")),1,0)</f>
        <v>0</v>
      </c>
      <c r="M11" s="58" t="str">
        <f t="shared" ref="M11:M41" si="4">IF(((((((TRUNC(G11)-1)-TRUNC(F11))*60)+((G11-TRUNC(G11))*100)+(60-(F11-TRUNC(F11))*100)))/100)&lt;pause2,"przerwa1","pause")</f>
        <v>przerwa1</v>
      </c>
      <c r="N11" s="57">
        <f>IF(OR((B11=83),(D11="w"),(D11="g"),(D11="c"),(D11="u"),(D11="uz"),(D11="op"),(D11="oc")),0,1)</f>
        <v>1</v>
      </c>
      <c r="O11" s="137"/>
      <c r="P11" s="149"/>
      <c r="Q11" s="137"/>
      <c r="R11" s="8"/>
      <c r="S11" s="60">
        <f t="shared" ref="S11:S41" si="5">IF(H11&lt;&gt;"",IF(D11="w",((TRUNC(H11)*60)+(H11-TRUNC(H11))*100),((TRUNC(H11)*60+(H11-TRUNC(H11))*100)-pause2*60-O11))," ")</f>
        <v>0</v>
      </c>
      <c r="T11" s="60" t="str">
        <f>IF(S11&gt;0,S11," ")</f>
        <v xml:space="preserve"> </v>
      </c>
      <c r="U11" s="60" t="str">
        <f>IF(S11&lt;0,S11," ")</f>
        <v xml:space="preserve"> </v>
      </c>
      <c r="W11">
        <f>IF(H11="",0,TRUNC(H11)*60)</f>
        <v>480</v>
      </c>
      <c r="X11">
        <f>IF(H11="",0,ROUND((H11-TRUNC(H11))*100,0)-O11)</f>
        <v>0</v>
      </c>
      <c r="Y11">
        <f>IF(D11="gp",(TRUNC(I11)*60+(I11-TRUNC(I11))*100),(IF(D11="g",(TRUNC(I11)*60+(I11-TRUNC(I11))*100),W11+X11)))</f>
        <v>480</v>
      </c>
      <c r="AD11" s="158">
        <f t="shared" ref="AD11:AD12" si="6">TRUNC(F11)</f>
        <v>8</v>
      </c>
      <c r="AE11" s="158">
        <f t="shared" ref="AE11:AE12" si="7">F11-TRUNC(F11)</f>
        <v>0</v>
      </c>
      <c r="AF11" s="64">
        <f t="shared" ref="AF11:AF12" si="8">IF(F11&lt;&gt;0,AD11+(AE11/0.6)," ")</f>
        <v>8</v>
      </c>
      <c r="AG11" s="169">
        <f t="shared" ref="AG11:AG12" si="9">TRUNC(G11)</f>
        <v>16</v>
      </c>
      <c r="AH11" s="169">
        <f t="shared" ref="AH11:AH12" si="10">G11-TRUNC(G11)</f>
        <v>0</v>
      </c>
      <c r="AI11" s="64">
        <f t="shared" ref="AI11:AI12" si="11">IF(G11&lt;&gt;0,AG11+(AH11/0.6)," ")</f>
        <v>16</v>
      </c>
      <c r="AJ11" s="169">
        <f t="shared" ref="AJ11:AJ12" si="12">IF(H11&lt;&gt;"",TRUNC(H11),"")</f>
        <v>8</v>
      </c>
      <c r="AK11" s="169">
        <f t="shared" ref="AK11:AK12" si="13">IF(H11&lt;&gt;"",H11-AJ11,"")</f>
        <v>0</v>
      </c>
      <c r="AL11" s="64">
        <f t="shared" ref="AL11:AL12" si="14">IF(H11&lt;&gt;"",AJ11+(AK11/0.6)," ")</f>
        <v>8</v>
      </c>
    </row>
    <row r="12" spans="1:38" ht="15.75" x14ac:dyDescent="0.25">
      <c r="A12" s="2">
        <f>(A11+1)</f>
        <v>46358</v>
      </c>
      <c r="B12" s="2">
        <f t="shared" ref="B12:B41" si="15">CODE(TEXT(A12,"TTTT"))</f>
        <v>84</v>
      </c>
      <c r="C12" s="54" t="str">
        <f t="shared" si="0"/>
        <v>02.12. środa</v>
      </c>
      <c r="D12" s="159"/>
      <c r="E12" s="117" t="str">
        <f t="shared" ref="E12:E41" si="16">IF(D12="w","wolne",IF(D12="u","urlop",IF(D12="c","choroba",IF(D12="g","godziny",IF(D12="a","nieobecny"," ")))))</f>
        <v xml:space="preserve"> </v>
      </c>
      <c r="F12" s="115">
        <v>8</v>
      </c>
      <c r="G12" s="115">
        <v>16</v>
      </c>
      <c r="H12" s="55">
        <f t="shared" si="1"/>
        <v>8</v>
      </c>
      <c r="I12" s="55">
        <f t="shared" si="2"/>
        <v>0</v>
      </c>
      <c r="J12" s="56">
        <f t="shared" si="3"/>
        <v>0</v>
      </c>
      <c r="K12" s="57">
        <f>IF(OR((B12=83),(D12="w")),0,1)</f>
        <v>1</v>
      </c>
      <c r="L12" s="57">
        <f t="shared" ref="L12:L41" si="17">IF(OR((D12="c"),(D12="u"),(D12="uz"),(D12="um"),(D12="op"),(D12="oc"),(D12="s")),1,0)</f>
        <v>0</v>
      </c>
      <c r="M12" s="58" t="str">
        <f t="shared" si="4"/>
        <v>przerwa1</v>
      </c>
      <c r="N12" s="57">
        <f t="shared" ref="N12:N41" si="18">IF(OR((B12=83),(D12="w"),(D12="g"),(D12="c"),(D12="u"),(D12="uz"),(D12="op"),(D12="oc")),0,1)</f>
        <v>1</v>
      </c>
      <c r="O12" s="138"/>
      <c r="P12" s="149"/>
      <c r="Q12" s="137"/>
      <c r="R12" s="8"/>
      <c r="S12" s="60">
        <f t="shared" si="5"/>
        <v>0</v>
      </c>
      <c r="T12" s="60" t="str">
        <f t="shared" ref="T12:T41" si="19">IF(S12&gt;0,S12," ")</f>
        <v xml:space="preserve"> </v>
      </c>
      <c r="U12" s="60" t="str">
        <f t="shared" ref="U12:U41" si="20">IF(S12&lt;0,S12," ")</f>
        <v xml:space="preserve"> </v>
      </c>
      <c r="W12">
        <f t="shared" ref="W12:W41" si="21">IF(H12="",0,TRUNC(H12)*60)</f>
        <v>480</v>
      </c>
      <c r="X12">
        <f t="shared" ref="X12:X41" si="22">IF(H12="",0,ROUND((H12-TRUNC(H12))*100,0)-O12)</f>
        <v>0</v>
      </c>
      <c r="Y12">
        <f t="shared" ref="Y12:Y41" si="23">IF(D12="gp",(TRUNC(I12)*60+(I12-TRUNC(I12))*100),(IF(D12="g",(TRUNC(I12)*60+(I12-TRUNC(I12))*100),W12+X12)))</f>
        <v>480</v>
      </c>
      <c r="AD12" s="158">
        <f t="shared" si="6"/>
        <v>8</v>
      </c>
      <c r="AE12" s="158">
        <f t="shared" si="7"/>
        <v>0</v>
      </c>
      <c r="AF12" s="64">
        <f t="shared" si="8"/>
        <v>8</v>
      </c>
      <c r="AG12" s="169">
        <f t="shared" si="9"/>
        <v>16</v>
      </c>
      <c r="AH12" s="169">
        <f t="shared" si="10"/>
        <v>0</v>
      </c>
      <c r="AI12" s="64">
        <f t="shared" si="11"/>
        <v>16</v>
      </c>
      <c r="AJ12" s="169">
        <f t="shared" si="12"/>
        <v>8</v>
      </c>
      <c r="AK12" s="169">
        <f t="shared" si="13"/>
        <v>0</v>
      </c>
      <c r="AL12" s="64">
        <f t="shared" si="14"/>
        <v>8</v>
      </c>
    </row>
    <row r="13" spans="1:38" ht="15.75" x14ac:dyDescent="0.25">
      <c r="A13" s="2">
        <f t="shared" ref="A13:A41" si="24">(A12+1)</f>
        <v>46359</v>
      </c>
      <c r="B13" s="2">
        <f t="shared" si="15"/>
        <v>84</v>
      </c>
      <c r="C13" s="54" t="str">
        <f t="shared" si="0"/>
        <v>03.12. czwartek</v>
      </c>
      <c r="D13" s="159"/>
      <c r="E13" s="117" t="str">
        <f t="shared" si="16"/>
        <v xml:space="preserve"> </v>
      </c>
      <c r="F13" s="115">
        <v>8</v>
      </c>
      <c r="G13" s="115">
        <v>16</v>
      </c>
      <c r="H13" s="55">
        <f t="shared" si="1"/>
        <v>8</v>
      </c>
      <c r="I13" s="55">
        <f t="shared" si="2"/>
        <v>0</v>
      </c>
      <c r="J13" s="56">
        <f t="shared" si="3"/>
        <v>0</v>
      </c>
      <c r="K13" s="57">
        <f>IF(OR((B13=83),(D13="w")),0,1)</f>
        <v>1</v>
      </c>
      <c r="L13" s="57">
        <f t="shared" si="17"/>
        <v>0</v>
      </c>
      <c r="M13" s="58" t="str">
        <f t="shared" si="4"/>
        <v>przerwa1</v>
      </c>
      <c r="N13" s="57">
        <f t="shared" si="18"/>
        <v>1</v>
      </c>
      <c r="O13" s="138"/>
      <c r="P13" s="149"/>
      <c r="Q13" s="137"/>
      <c r="R13" s="8"/>
      <c r="S13" s="60">
        <f t="shared" si="5"/>
        <v>0</v>
      </c>
      <c r="T13" s="60" t="str">
        <f t="shared" si="19"/>
        <v xml:space="preserve"> </v>
      </c>
      <c r="U13" s="60" t="str">
        <f t="shared" si="20"/>
        <v xml:space="preserve"> </v>
      </c>
      <c r="W13">
        <f t="shared" si="21"/>
        <v>480</v>
      </c>
      <c r="X13">
        <f t="shared" si="22"/>
        <v>0</v>
      </c>
      <c r="Y13">
        <f t="shared" si="23"/>
        <v>480</v>
      </c>
      <c r="AD13" s="158">
        <f>TRUNC(F13)</f>
        <v>8</v>
      </c>
      <c r="AE13" s="158">
        <f>F13-TRUNC(F13)</f>
        <v>0</v>
      </c>
      <c r="AF13" s="64">
        <f>IF(F13&lt;&gt;0,AD13+(AE13/0.6)," ")</f>
        <v>8</v>
      </c>
      <c r="AG13" s="169">
        <f>TRUNC(G13)</f>
        <v>16</v>
      </c>
      <c r="AH13" s="169">
        <f>G13-TRUNC(G13)</f>
        <v>0</v>
      </c>
      <c r="AI13" s="64">
        <f>IF(G13&lt;&gt;0,AG13+(AH13/0.6)," ")</f>
        <v>16</v>
      </c>
      <c r="AJ13" s="169">
        <f>IF(H13&lt;&gt;"",TRUNC(H13),"")</f>
        <v>8</v>
      </c>
      <c r="AK13" s="169">
        <f>IF(H13&lt;&gt;"",H13-AJ13,"")</f>
        <v>0</v>
      </c>
      <c r="AL13" s="64">
        <f>IF(H13&lt;&gt;"",AJ13+(AK13/0.6)," ")</f>
        <v>8</v>
      </c>
    </row>
    <row r="14" spans="1:38" ht="15.75" x14ac:dyDescent="0.25">
      <c r="A14" s="2">
        <f t="shared" si="24"/>
        <v>46360</v>
      </c>
      <c r="B14" s="2">
        <f t="shared" si="15"/>
        <v>84</v>
      </c>
      <c r="C14" s="54" t="str">
        <f t="shared" si="0"/>
        <v>04.12. piątek</v>
      </c>
      <c r="D14" s="159"/>
      <c r="E14" s="117" t="str">
        <f t="shared" si="16"/>
        <v xml:space="preserve"> </v>
      </c>
      <c r="F14" s="115">
        <v>8</v>
      </c>
      <c r="G14" s="115">
        <v>16</v>
      </c>
      <c r="H14" s="55">
        <f t="shared" si="1"/>
        <v>8</v>
      </c>
      <c r="I14" s="55">
        <f t="shared" si="2"/>
        <v>0</v>
      </c>
      <c r="J14" s="56">
        <f t="shared" si="3"/>
        <v>0</v>
      </c>
      <c r="K14" s="57">
        <f>IF(OR((B14=83),(D14="w")),0,1)</f>
        <v>1</v>
      </c>
      <c r="L14" s="57">
        <f t="shared" si="17"/>
        <v>0</v>
      </c>
      <c r="M14" s="58" t="str">
        <f t="shared" si="4"/>
        <v>przerwa1</v>
      </c>
      <c r="N14" s="57">
        <f t="shared" si="18"/>
        <v>1</v>
      </c>
      <c r="O14" s="138"/>
      <c r="P14" s="149"/>
      <c r="Q14" s="137"/>
      <c r="R14" s="8"/>
      <c r="S14" s="60">
        <f t="shared" si="5"/>
        <v>0</v>
      </c>
      <c r="T14" s="60" t="str">
        <f t="shared" si="19"/>
        <v xml:space="preserve"> </v>
      </c>
      <c r="U14" s="60" t="str">
        <f t="shared" si="20"/>
        <v xml:space="preserve"> </v>
      </c>
      <c r="W14">
        <f t="shared" si="21"/>
        <v>480</v>
      </c>
      <c r="X14">
        <f t="shared" si="22"/>
        <v>0</v>
      </c>
      <c r="Y14">
        <f t="shared" si="23"/>
        <v>480</v>
      </c>
      <c r="AD14" s="158">
        <f t="shared" ref="AD14:AD41" si="25">TRUNC(F14)</f>
        <v>8</v>
      </c>
      <c r="AE14" s="158">
        <f t="shared" ref="AE14:AE41" si="26">F14-TRUNC(F14)</f>
        <v>0</v>
      </c>
      <c r="AF14" s="64">
        <f t="shared" ref="AF14:AF41" si="27">IF(F14&lt;&gt;0,AD14+(AE14/0.6)," ")</f>
        <v>8</v>
      </c>
      <c r="AG14" s="169">
        <f t="shared" ref="AG14:AG41" si="28">TRUNC(G14)</f>
        <v>16</v>
      </c>
      <c r="AH14" s="169">
        <f t="shared" ref="AH14:AH41" si="29">G14-TRUNC(G14)</f>
        <v>0</v>
      </c>
      <c r="AI14" s="64">
        <f t="shared" ref="AI14:AI41" si="30">IF(G14&lt;&gt;0,AG14+(AH14/0.6)," ")</f>
        <v>16</v>
      </c>
      <c r="AJ14" s="169">
        <f t="shared" ref="AJ14:AJ41" si="31">IF(H14&lt;&gt;"",TRUNC(H14),"")</f>
        <v>8</v>
      </c>
      <c r="AK14" s="169">
        <f t="shared" ref="AK14:AK41" si="32">IF(H14&lt;&gt;"",H14-AJ14,"")</f>
        <v>0</v>
      </c>
      <c r="AL14" s="64">
        <f t="shared" ref="AL14:AL41" si="33">IF(H14&lt;&gt;"",AJ14+(AK14/0.6)," ")</f>
        <v>8</v>
      </c>
    </row>
    <row r="15" spans="1:38" ht="15.75" x14ac:dyDescent="0.25">
      <c r="A15" s="2">
        <f t="shared" si="24"/>
        <v>46361</v>
      </c>
      <c r="B15" s="2">
        <f t="shared" si="15"/>
        <v>84</v>
      </c>
      <c r="C15" s="54" t="str">
        <f t="shared" si="0"/>
        <v>05.12. sobota</v>
      </c>
      <c r="D15" s="159" t="s">
        <v>47</v>
      </c>
      <c r="E15" s="117" t="str">
        <f t="shared" si="16"/>
        <v>wolne</v>
      </c>
      <c r="F15" s="115"/>
      <c r="G15" s="115"/>
      <c r="H15" s="55" t="str">
        <f t="shared" si="1"/>
        <v/>
      </c>
      <c r="I15" s="55" t="str">
        <f t="shared" si="2"/>
        <v/>
      </c>
      <c r="J15" s="56" t="str">
        <f t="shared" si="3"/>
        <v/>
      </c>
      <c r="K15" s="57">
        <f t="shared" ref="K15:K42" si="34">IF(OR((B15=83),(D15="w")),0,1)</f>
        <v>0</v>
      </c>
      <c r="L15" s="57">
        <f t="shared" si="17"/>
        <v>0</v>
      </c>
      <c r="M15" s="58" t="str">
        <f t="shared" si="4"/>
        <v>przerwa1</v>
      </c>
      <c r="N15" s="57">
        <f t="shared" si="18"/>
        <v>0</v>
      </c>
      <c r="O15" s="138"/>
      <c r="P15" s="149"/>
      <c r="Q15" s="137"/>
      <c r="R15" s="8"/>
      <c r="S15" s="60" t="str">
        <f t="shared" si="5"/>
        <v xml:space="preserve"> </v>
      </c>
      <c r="T15" s="60" t="str">
        <f t="shared" si="19"/>
        <v xml:space="preserve"> </v>
      </c>
      <c r="U15" s="60" t="str">
        <f t="shared" si="20"/>
        <v xml:space="preserve"> </v>
      </c>
      <c r="W15">
        <f t="shared" si="21"/>
        <v>0</v>
      </c>
      <c r="X15">
        <f t="shared" si="22"/>
        <v>0</v>
      </c>
      <c r="Y15">
        <f t="shared" si="23"/>
        <v>0</v>
      </c>
      <c r="AD15" s="158">
        <f t="shared" si="25"/>
        <v>0</v>
      </c>
      <c r="AE15" s="158">
        <f t="shared" si="26"/>
        <v>0</v>
      </c>
      <c r="AF15" s="64" t="str">
        <f t="shared" si="27"/>
        <v xml:space="preserve"> </v>
      </c>
      <c r="AG15" s="169">
        <f t="shared" si="28"/>
        <v>0</v>
      </c>
      <c r="AH15" s="169">
        <f t="shared" si="29"/>
        <v>0</v>
      </c>
      <c r="AI15" s="64" t="str">
        <f t="shared" si="30"/>
        <v xml:space="preserve"> </v>
      </c>
      <c r="AJ15" s="169" t="str">
        <f t="shared" si="31"/>
        <v/>
      </c>
      <c r="AK15" s="169" t="str">
        <f t="shared" si="32"/>
        <v/>
      </c>
      <c r="AL15" s="64" t="str">
        <f t="shared" si="33"/>
        <v xml:space="preserve"> </v>
      </c>
    </row>
    <row r="16" spans="1:38" ht="15.75" x14ac:dyDescent="0.25">
      <c r="A16" s="2">
        <f t="shared" si="24"/>
        <v>46362</v>
      </c>
      <c r="B16" s="2">
        <f t="shared" si="15"/>
        <v>84</v>
      </c>
      <c r="C16" s="54" t="str">
        <f t="shared" si="0"/>
        <v>06.12. niedziela</v>
      </c>
      <c r="D16" s="159" t="s">
        <v>47</v>
      </c>
      <c r="E16" s="117" t="str">
        <f t="shared" si="16"/>
        <v>wolne</v>
      </c>
      <c r="F16" s="115"/>
      <c r="G16" s="115"/>
      <c r="H16" s="55" t="str">
        <f t="shared" si="1"/>
        <v/>
      </c>
      <c r="I16" s="55" t="str">
        <f t="shared" si="2"/>
        <v/>
      </c>
      <c r="J16" s="56" t="str">
        <f t="shared" si="3"/>
        <v/>
      </c>
      <c r="K16" s="57">
        <f t="shared" si="34"/>
        <v>0</v>
      </c>
      <c r="L16" s="57">
        <f t="shared" si="17"/>
        <v>0</v>
      </c>
      <c r="M16" s="58" t="str">
        <f t="shared" si="4"/>
        <v>przerwa1</v>
      </c>
      <c r="N16" s="57">
        <f t="shared" si="18"/>
        <v>0</v>
      </c>
      <c r="O16" s="138"/>
      <c r="P16" s="149"/>
      <c r="Q16" s="138"/>
      <c r="R16" s="8"/>
      <c r="S16" s="60" t="str">
        <f t="shared" si="5"/>
        <v xml:space="preserve"> </v>
      </c>
      <c r="T16" s="60" t="str">
        <f t="shared" si="19"/>
        <v xml:space="preserve"> </v>
      </c>
      <c r="U16" s="60" t="str">
        <f t="shared" si="20"/>
        <v xml:space="preserve"> </v>
      </c>
      <c r="W16">
        <f t="shared" si="21"/>
        <v>0</v>
      </c>
      <c r="X16">
        <f t="shared" si="22"/>
        <v>0</v>
      </c>
      <c r="Y16">
        <f t="shared" si="23"/>
        <v>0</v>
      </c>
      <c r="AD16" s="158">
        <f t="shared" si="25"/>
        <v>0</v>
      </c>
      <c r="AE16" s="158">
        <f t="shared" si="26"/>
        <v>0</v>
      </c>
      <c r="AF16" s="64" t="str">
        <f t="shared" si="27"/>
        <v xml:space="preserve"> </v>
      </c>
      <c r="AG16" s="169">
        <f t="shared" si="28"/>
        <v>0</v>
      </c>
      <c r="AH16" s="169">
        <f t="shared" si="29"/>
        <v>0</v>
      </c>
      <c r="AI16" s="64" t="str">
        <f t="shared" si="30"/>
        <v xml:space="preserve"> </v>
      </c>
      <c r="AJ16" s="169" t="str">
        <f t="shared" si="31"/>
        <v/>
      </c>
      <c r="AK16" s="169" t="str">
        <f t="shared" si="32"/>
        <v/>
      </c>
      <c r="AL16" s="64" t="str">
        <f t="shared" si="33"/>
        <v xml:space="preserve"> </v>
      </c>
    </row>
    <row r="17" spans="1:38" ht="15.75" x14ac:dyDescent="0.25">
      <c r="A17" s="2">
        <f t="shared" si="24"/>
        <v>46363</v>
      </c>
      <c r="B17" s="2">
        <f t="shared" si="15"/>
        <v>84</v>
      </c>
      <c r="C17" s="54" t="str">
        <f t="shared" si="0"/>
        <v>07.12. poniedziałek</v>
      </c>
      <c r="D17" s="159"/>
      <c r="E17" s="117" t="str">
        <f t="shared" si="16"/>
        <v xml:space="preserve"> </v>
      </c>
      <c r="F17" s="115">
        <v>8</v>
      </c>
      <c r="G17" s="115">
        <v>16</v>
      </c>
      <c r="H17" s="55">
        <f t="shared" si="1"/>
        <v>8</v>
      </c>
      <c r="I17" s="55">
        <f t="shared" si="2"/>
        <v>0</v>
      </c>
      <c r="J17" s="56">
        <f t="shared" si="3"/>
        <v>0</v>
      </c>
      <c r="K17" s="57">
        <f t="shared" si="34"/>
        <v>1</v>
      </c>
      <c r="L17" s="57">
        <f t="shared" si="17"/>
        <v>0</v>
      </c>
      <c r="M17" s="58" t="str">
        <f t="shared" si="4"/>
        <v>przerwa1</v>
      </c>
      <c r="N17" s="57">
        <f t="shared" si="18"/>
        <v>1</v>
      </c>
      <c r="O17" s="138"/>
      <c r="P17" s="149"/>
      <c r="Q17" s="138"/>
      <c r="R17" s="8"/>
      <c r="S17" s="60">
        <f t="shared" si="5"/>
        <v>0</v>
      </c>
      <c r="T17" s="60" t="str">
        <f t="shared" si="19"/>
        <v xml:space="preserve"> </v>
      </c>
      <c r="U17" s="60" t="str">
        <f t="shared" si="20"/>
        <v xml:space="preserve"> </v>
      </c>
      <c r="W17">
        <f t="shared" si="21"/>
        <v>480</v>
      </c>
      <c r="X17">
        <f t="shared" si="22"/>
        <v>0</v>
      </c>
      <c r="Y17">
        <f t="shared" si="23"/>
        <v>480</v>
      </c>
      <c r="AD17" s="158">
        <f t="shared" si="25"/>
        <v>8</v>
      </c>
      <c r="AE17" s="158">
        <f t="shared" si="26"/>
        <v>0</v>
      </c>
      <c r="AF17" s="64">
        <f t="shared" si="27"/>
        <v>8</v>
      </c>
      <c r="AG17" s="169">
        <f t="shared" si="28"/>
        <v>16</v>
      </c>
      <c r="AH17" s="169">
        <f t="shared" si="29"/>
        <v>0</v>
      </c>
      <c r="AI17" s="64">
        <f t="shared" si="30"/>
        <v>16</v>
      </c>
      <c r="AJ17" s="169">
        <f t="shared" si="31"/>
        <v>8</v>
      </c>
      <c r="AK17" s="169">
        <f t="shared" si="32"/>
        <v>0</v>
      </c>
      <c r="AL17" s="64">
        <f t="shared" si="33"/>
        <v>8</v>
      </c>
    </row>
    <row r="18" spans="1:38" ht="15.75" x14ac:dyDescent="0.25">
      <c r="A18" s="2">
        <f t="shared" si="24"/>
        <v>46364</v>
      </c>
      <c r="B18" s="2">
        <f t="shared" si="15"/>
        <v>84</v>
      </c>
      <c r="C18" s="54" t="str">
        <f t="shared" si="0"/>
        <v>08.12. wtorek</v>
      </c>
      <c r="D18" s="159"/>
      <c r="E18" s="117" t="str">
        <f t="shared" si="16"/>
        <v xml:space="preserve"> </v>
      </c>
      <c r="F18" s="115">
        <v>8</v>
      </c>
      <c r="G18" s="115">
        <v>16</v>
      </c>
      <c r="H18" s="55">
        <f t="shared" si="1"/>
        <v>8</v>
      </c>
      <c r="I18" s="55">
        <f t="shared" si="2"/>
        <v>0</v>
      </c>
      <c r="J18" s="56">
        <f t="shared" si="3"/>
        <v>0</v>
      </c>
      <c r="K18" s="57">
        <f t="shared" si="34"/>
        <v>1</v>
      </c>
      <c r="L18" s="57">
        <f t="shared" si="17"/>
        <v>0</v>
      </c>
      <c r="M18" s="58" t="str">
        <f t="shared" si="4"/>
        <v>przerwa1</v>
      </c>
      <c r="N18" s="57">
        <f t="shared" si="18"/>
        <v>1</v>
      </c>
      <c r="O18" s="138"/>
      <c r="P18" s="149"/>
      <c r="Q18" s="138"/>
      <c r="R18" s="8"/>
      <c r="S18" s="60">
        <f t="shared" si="5"/>
        <v>0</v>
      </c>
      <c r="T18" s="60" t="str">
        <f t="shared" si="19"/>
        <v xml:space="preserve"> </v>
      </c>
      <c r="U18" s="60" t="str">
        <f t="shared" si="20"/>
        <v xml:space="preserve"> </v>
      </c>
      <c r="W18">
        <f t="shared" si="21"/>
        <v>480</v>
      </c>
      <c r="X18">
        <f t="shared" si="22"/>
        <v>0</v>
      </c>
      <c r="Y18">
        <f t="shared" si="23"/>
        <v>480</v>
      </c>
      <c r="AD18" s="158">
        <f t="shared" si="25"/>
        <v>8</v>
      </c>
      <c r="AE18" s="158">
        <f t="shared" si="26"/>
        <v>0</v>
      </c>
      <c r="AF18" s="64">
        <f t="shared" si="27"/>
        <v>8</v>
      </c>
      <c r="AG18" s="169">
        <f t="shared" si="28"/>
        <v>16</v>
      </c>
      <c r="AH18" s="169">
        <f t="shared" si="29"/>
        <v>0</v>
      </c>
      <c r="AI18" s="64">
        <f t="shared" si="30"/>
        <v>16</v>
      </c>
      <c r="AJ18" s="169">
        <f t="shared" si="31"/>
        <v>8</v>
      </c>
      <c r="AK18" s="169">
        <f t="shared" si="32"/>
        <v>0</v>
      </c>
      <c r="AL18" s="64">
        <f t="shared" si="33"/>
        <v>8</v>
      </c>
    </row>
    <row r="19" spans="1:38" ht="15.75" x14ac:dyDescent="0.25">
      <c r="A19" s="2">
        <f t="shared" si="24"/>
        <v>46365</v>
      </c>
      <c r="B19" s="2">
        <f t="shared" si="15"/>
        <v>84</v>
      </c>
      <c r="C19" s="54" t="str">
        <f t="shared" si="0"/>
        <v>09.12. środa</v>
      </c>
      <c r="D19" s="159"/>
      <c r="E19" s="117" t="str">
        <f t="shared" si="16"/>
        <v xml:space="preserve"> </v>
      </c>
      <c r="F19" s="115">
        <v>8</v>
      </c>
      <c r="G19" s="115">
        <v>16</v>
      </c>
      <c r="H19" s="55">
        <f t="shared" si="1"/>
        <v>8</v>
      </c>
      <c r="I19" s="55">
        <f t="shared" si="2"/>
        <v>0</v>
      </c>
      <c r="J19" s="56">
        <f t="shared" si="3"/>
        <v>0</v>
      </c>
      <c r="K19" s="57">
        <f t="shared" si="34"/>
        <v>1</v>
      </c>
      <c r="L19" s="57">
        <f t="shared" si="17"/>
        <v>0</v>
      </c>
      <c r="M19" s="58" t="str">
        <f t="shared" si="4"/>
        <v>przerwa1</v>
      </c>
      <c r="N19" s="57">
        <f t="shared" si="18"/>
        <v>1</v>
      </c>
      <c r="O19" s="138"/>
      <c r="P19" s="149"/>
      <c r="Q19" s="138"/>
      <c r="R19" s="8"/>
      <c r="S19" s="60">
        <f t="shared" si="5"/>
        <v>0</v>
      </c>
      <c r="T19" s="60" t="str">
        <f t="shared" si="19"/>
        <v xml:space="preserve"> </v>
      </c>
      <c r="U19" s="60" t="str">
        <f t="shared" si="20"/>
        <v xml:space="preserve"> </v>
      </c>
      <c r="W19">
        <f t="shared" si="21"/>
        <v>480</v>
      </c>
      <c r="X19">
        <f t="shared" si="22"/>
        <v>0</v>
      </c>
      <c r="Y19">
        <f t="shared" si="23"/>
        <v>480</v>
      </c>
      <c r="AD19" s="158">
        <f t="shared" si="25"/>
        <v>8</v>
      </c>
      <c r="AE19" s="158">
        <f t="shared" si="26"/>
        <v>0</v>
      </c>
      <c r="AF19" s="64">
        <f t="shared" si="27"/>
        <v>8</v>
      </c>
      <c r="AG19" s="169">
        <f t="shared" si="28"/>
        <v>16</v>
      </c>
      <c r="AH19" s="169">
        <f t="shared" si="29"/>
        <v>0</v>
      </c>
      <c r="AI19" s="64">
        <f t="shared" si="30"/>
        <v>16</v>
      </c>
      <c r="AJ19" s="169">
        <f t="shared" si="31"/>
        <v>8</v>
      </c>
      <c r="AK19" s="169">
        <f t="shared" si="32"/>
        <v>0</v>
      </c>
      <c r="AL19" s="64">
        <f t="shared" si="33"/>
        <v>8</v>
      </c>
    </row>
    <row r="20" spans="1:38" ht="15.75" x14ac:dyDescent="0.25">
      <c r="A20" s="2">
        <f t="shared" si="24"/>
        <v>46366</v>
      </c>
      <c r="B20" s="2">
        <f t="shared" si="15"/>
        <v>84</v>
      </c>
      <c r="C20" s="54" t="str">
        <f t="shared" si="0"/>
        <v>10.12. czwartek</v>
      </c>
      <c r="D20" s="159"/>
      <c r="E20" s="117" t="str">
        <f t="shared" si="16"/>
        <v xml:space="preserve"> </v>
      </c>
      <c r="F20" s="115">
        <v>8</v>
      </c>
      <c r="G20" s="115">
        <v>16</v>
      </c>
      <c r="H20" s="55">
        <f t="shared" si="1"/>
        <v>8</v>
      </c>
      <c r="I20" s="55">
        <f t="shared" si="2"/>
        <v>0</v>
      </c>
      <c r="J20" s="56">
        <f t="shared" si="3"/>
        <v>0</v>
      </c>
      <c r="K20" s="57">
        <f t="shared" si="34"/>
        <v>1</v>
      </c>
      <c r="L20" s="57">
        <f t="shared" si="17"/>
        <v>0</v>
      </c>
      <c r="M20" s="58" t="str">
        <f t="shared" si="4"/>
        <v>przerwa1</v>
      </c>
      <c r="N20" s="57">
        <f t="shared" si="18"/>
        <v>1</v>
      </c>
      <c r="O20" s="138"/>
      <c r="P20" s="149"/>
      <c r="Q20" s="138"/>
      <c r="R20" s="8"/>
      <c r="S20" s="60">
        <f t="shared" si="5"/>
        <v>0</v>
      </c>
      <c r="T20" s="60" t="str">
        <f t="shared" si="19"/>
        <v xml:space="preserve"> </v>
      </c>
      <c r="U20" s="60" t="str">
        <f t="shared" si="20"/>
        <v xml:space="preserve"> </v>
      </c>
      <c r="W20">
        <f t="shared" si="21"/>
        <v>480</v>
      </c>
      <c r="X20">
        <f t="shared" si="22"/>
        <v>0</v>
      </c>
      <c r="Y20">
        <f t="shared" si="23"/>
        <v>480</v>
      </c>
      <c r="AD20" s="158">
        <f t="shared" si="25"/>
        <v>8</v>
      </c>
      <c r="AE20" s="158">
        <f t="shared" si="26"/>
        <v>0</v>
      </c>
      <c r="AF20" s="64">
        <f t="shared" si="27"/>
        <v>8</v>
      </c>
      <c r="AG20" s="169">
        <f t="shared" si="28"/>
        <v>16</v>
      </c>
      <c r="AH20" s="169">
        <f t="shared" si="29"/>
        <v>0</v>
      </c>
      <c r="AI20" s="64">
        <f t="shared" si="30"/>
        <v>16</v>
      </c>
      <c r="AJ20" s="169">
        <f t="shared" si="31"/>
        <v>8</v>
      </c>
      <c r="AK20" s="169">
        <f>IF(H20&lt;&gt;"",H20-AJ20,"")</f>
        <v>0</v>
      </c>
      <c r="AL20" s="64">
        <f t="shared" si="33"/>
        <v>8</v>
      </c>
    </row>
    <row r="21" spans="1:38" ht="15.75" x14ac:dyDescent="0.25">
      <c r="A21" s="2">
        <f t="shared" si="24"/>
        <v>46367</v>
      </c>
      <c r="B21" s="2">
        <f t="shared" si="15"/>
        <v>84</v>
      </c>
      <c r="C21" s="54" t="str">
        <f t="shared" si="0"/>
        <v>11.12. piątek</v>
      </c>
      <c r="D21" s="159"/>
      <c r="E21" s="117" t="str">
        <f t="shared" si="16"/>
        <v xml:space="preserve"> </v>
      </c>
      <c r="F21" s="115">
        <v>8</v>
      </c>
      <c r="G21" s="115">
        <v>16</v>
      </c>
      <c r="H21" s="55">
        <f t="shared" si="1"/>
        <v>8</v>
      </c>
      <c r="I21" s="55">
        <f t="shared" si="2"/>
        <v>0</v>
      </c>
      <c r="J21" s="56">
        <f t="shared" si="3"/>
        <v>0</v>
      </c>
      <c r="K21" s="57">
        <f t="shared" si="34"/>
        <v>1</v>
      </c>
      <c r="L21" s="57">
        <f t="shared" si="17"/>
        <v>0</v>
      </c>
      <c r="M21" s="58" t="str">
        <f t="shared" si="4"/>
        <v>przerwa1</v>
      </c>
      <c r="N21" s="57">
        <f t="shared" si="18"/>
        <v>1</v>
      </c>
      <c r="O21" s="138"/>
      <c r="P21" s="149"/>
      <c r="Q21" s="138"/>
      <c r="R21" s="8"/>
      <c r="S21" s="60">
        <f t="shared" si="5"/>
        <v>0</v>
      </c>
      <c r="T21" s="60" t="str">
        <f t="shared" si="19"/>
        <v xml:space="preserve"> </v>
      </c>
      <c r="U21" s="60" t="str">
        <f t="shared" si="20"/>
        <v xml:space="preserve"> </v>
      </c>
      <c r="W21">
        <f t="shared" si="21"/>
        <v>480</v>
      </c>
      <c r="X21">
        <f t="shared" si="22"/>
        <v>0</v>
      </c>
      <c r="Y21">
        <f t="shared" si="23"/>
        <v>480</v>
      </c>
      <c r="AD21" s="158">
        <f t="shared" si="25"/>
        <v>8</v>
      </c>
      <c r="AE21" s="158">
        <f t="shared" si="26"/>
        <v>0</v>
      </c>
      <c r="AF21" s="64">
        <f t="shared" si="27"/>
        <v>8</v>
      </c>
      <c r="AG21" s="169">
        <f t="shared" si="28"/>
        <v>16</v>
      </c>
      <c r="AH21" s="169">
        <f t="shared" si="29"/>
        <v>0</v>
      </c>
      <c r="AI21" s="64">
        <f t="shared" si="30"/>
        <v>16</v>
      </c>
      <c r="AJ21" s="169">
        <f t="shared" si="31"/>
        <v>8</v>
      </c>
      <c r="AK21" s="169">
        <f t="shared" si="32"/>
        <v>0</v>
      </c>
      <c r="AL21" s="64">
        <f t="shared" si="33"/>
        <v>8</v>
      </c>
    </row>
    <row r="22" spans="1:38" ht="15.75" x14ac:dyDescent="0.25">
      <c r="A22" s="2">
        <f t="shared" si="24"/>
        <v>46368</v>
      </c>
      <c r="B22" s="2">
        <f t="shared" si="15"/>
        <v>84</v>
      </c>
      <c r="C22" s="54" t="str">
        <f t="shared" si="0"/>
        <v>12.12. sobota</v>
      </c>
      <c r="D22" s="159" t="s">
        <v>47</v>
      </c>
      <c r="E22" s="117" t="str">
        <f t="shared" si="16"/>
        <v>wolne</v>
      </c>
      <c r="F22" s="115"/>
      <c r="G22" s="115"/>
      <c r="H22" s="55" t="str">
        <f t="shared" si="1"/>
        <v/>
      </c>
      <c r="I22" s="55" t="str">
        <f t="shared" si="2"/>
        <v/>
      </c>
      <c r="J22" s="56" t="str">
        <f t="shared" si="3"/>
        <v/>
      </c>
      <c r="K22" s="57">
        <f t="shared" si="34"/>
        <v>0</v>
      </c>
      <c r="L22" s="57">
        <f t="shared" si="17"/>
        <v>0</v>
      </c>
      <c r="M22" s="58" t="str">
        <f t="shared" si="4"/>
        <v>przerwa1</v>
      </c>
      <c r="N22" s="57">
        <f t="shared" si="18"/>
        <v>0</v>
      </c>
      <c r="O22" s="138"/>
      <c r="P22" s="149"/>
      <c r="Q22" s="138"/>
      <c r="R22" s="8"/>
      <c r="S22" s="60" t="str">
        <f t="shared" si="5"/>
        <v xml:space="preserve"> </v>
      </c>
      <c r="T22" s="60" t="str">
        <f t="shared" si="19"/>
        <v xml:space="preserve"> </v>
      </c>
      <c r="U22" s="60" t="str">
        <f t="shared" si="20"/>
        <v xml:space="preserve"> </v>
      </c>
      <c r="W22">
        <f t="shared" si="21"/>
        <v>0</v>
      </c>
      <c r="X22">
        <f t="shared" si="22"/>
        <v>0</v>
      </c>
      <c r="Y22">
        <f t="shared" si="23"/>
        <v>0</v>
      </c>
      <c r="AD22" s="158">
        <f t="shared" si="25"/>
        <v>0</v>
      </c>
      <c r="AE22" s="158">
        <f t="shared" si="26"/>
        <v>0</v>
      </c>
      <c r="AF22" s="64" t="str">
        <f t="shared" si="27"/>
        <v xml:space="preserve"> </v>
      </c>
      <c r="AG22" s="169">
        <f t="shared" si="28"/>
        <v>0</v>
      </c>
      <c r="AH22" s="169">
        <f t="shared" si="29"/>
        <v>0</v>
      </c>
      <c r="AI22" s="64" t="str">
        <f t="shared" si="30"/>
        <v xml:space="preserve"> </v>
      </c>
      <c r="AJ22" s="169" t="str">
        <f t="shared" si="31"/>
        <v/>
      </c>
      <c r="AK22" s="169" t="str">
        <f t="shared" si="32"/>
        <v/>
      </c>
      <c r="AL22" s="64" t="str">
        <f t="shared" si="33"/>
        <v xml:space="preserve"> </v>
      </c>
    </row>
    <row r="23" spans="1:38" ht="15.75" x14ac:dyDescent="0.25">
      <c r="A23" s="2">
        <f t="shared" si="24"/>
        <v>46369</v>
      </c>
      <c r="B23" s="2">
        <f t="shared" si="15"/>
        <v>84</v>
      </c>
      <c r="C23" s="54" t="str">
        <f t="shared" si="0"/>
        <v>13.12. niedziela</v>
      </c>
      <c r="D23" s="159" t="s">
        <v>47</v>
      </c>
      <c r="E23" s="117" t="str">
        <f t="shared" si="16"/>
        <v>wolne</v>
      </c>
      <c r="F23" s="115"/>
      <c r="G23" s="115"/>
      <c r="H23" s="55" t="str">
        <f t="shared" si="1"/>
        <v/>
      </c>
      <c r="I23" s="55" t="str">
        <f t="shared" si="2"/>
        <v/>
      </c>
      <c r="J23" s="56" t="str">
        <f t="shared" si="3"/>
        <v/>
      </c>
      <c r="K23" s="57">
        <f t="shared" si="34"/>
        <v>0</v>
      </c>
      <c r="L23" s="57">
        <f t="shared" si="17"/>
        <v>0</v>
      </c>
      <c r="M23" s="58" t="str">
        <f t="shared" si="4"/>
        <v>przerwa1</v>
      </c>
      <c r="N23" s="57">
        <f t="shared" si="18"/>
        <v>0</v>
      </c>
      <c r="O23" s="138"/>
      <c r="P23" s="149"/>
      <c r="Q23" s="138"/>
      <c r="R23" s="8"/>
      <c r="S23" s="60" t="str">
        <f t="shared" si="5"/>
        <v xml:space="preserve"> </v>
      </c>
      <c r="T23" s="60" t="str">
        <f t="shared" si="19"/>
        <v xml:space="preserve"> </v>
      </c>
      <c r="U23" s="60" t="str">
        <f t="shared" si="20"/>
        <v xml:space="preserve"> </v>
      </c>
      <c r="W23">
        <f t="shared" si="21"/>
        <v>0</v>
      </c>
      <c r="X23">
        <f t="shared" si="22"/>
        <v>0</v>
      </c>
      <c r="Y23">
        <f t="shared" si="23"/>
        <v>0</v>
      </c>
      <c r="AD23" s="158">
        <f t="shared" si="25"/>
        <v>0</v>
      </c>
      <c r="AE23" s="158">
        <f t="shared" si="26"/>
        <v>0</v>
      </c>
      <c r="AF23" s="64" t="str">
        <f t="shared" si="27"/>
        <v xml:space="preserve"> </v>
      </c>
      <c r="AG23" s="169">
        <f t="shared" si="28"/>
        <v>0</v>
      </c>
      <c r="AH23" s="169">
        <f t="shared" si="29"/>
        <v>0</v>
      </c>
      <c r="AI23" s="64" t="str">
        <f t="shared" si="30"/>
        <v xml:space="preserve"> </v>
      </c>
      <c r="AJ23" s="169" t="str">
        <f t="shared" si="31"/>
        <v/>
      </c>
      <c r="AK23" s="169" t="str">
        <f t="shared" si="32"/>
        <v/>
      </c>
      <c r="AL23" s="64" t="str">
        <f t="shared" si="33"/>
        <v xml:space="preserve"> </v>
      </c>
    </row>
    <row r="24" spans="1:38" ht="15.75" x14ac:dyDescent="0.25">
      <c r="A24" s="2">
        <f t="shared" si="24"/>
        <v>46370</v>
      </c>
      <c r="B24" s="2">
        <f t="shared" si="15"/>
        <v>84</v>
      </c>
      <c r="C24" s="54" t="str">
        <f t="shared" si="0"/>
        <v>14.12. poniedziałek</v>
      </c>
      <c r="D24" s="159"/>
      <c r="E24" s="117" t="str">
        <f t="shared" si="16"/>
        <v xml:space="preserve"> </v>
      </c>
      <c r="F24" s="115">
        <v>8</v>
      </c>
      <c r="G24" s="115">
        <v>16</v>
      </c>
      <c r="H24" s="55">
        <f t="shared" si="1"/>
        <v>8</v>
      </c>
      <c r="I24" s="55">
        <f t="shared" si="2"/>
        <v>0</v>
      </c>
      <c r="J24" s="56">
        <f t="shared" si="3"/>
        <v>0</v>
      </c>
      <c r="K24" s="57">
        <f t="shared" si="34"/>
        <v>1</v>
      </c>
      <c r="L24" s="57">
        <f t="shared" si="17"/>
        <v>0</v>
      </c>
      <c r="M24" s="58" t="str">
        <f t="shared" si="4"/>
        <v>przerwa1</v>
      </c>
      <c r="N24" s="57">
        <f t="shared" si="18"/>
        <v>1</v>
      </c>
      <c r="O24" s="138"/>
      <c r="P24" s="149"/>
      <c r="Q24" s="138"/>
      <c r="R24" s="8"/>
      <c r="S24" s="60">
        <f t="shared" si="5"/>
        <v>0</v>
      </c>
      <c r="T24" s="60" t="str">
        <f t="shared" si="19"/>
        <v xml:space="preserve"> </v>
      </c>
      <c r="U24" s="60" t="str">
        <f t="shared" si="20"/>
        <v xml:space="preserve"> </v>
      </c>
      <c r="W24">
        <f t="shared" si="21"/>
        <v>480</v>
      </c>
      <c r="X24">
        <f t="shared" si="22"/>
        <v>0</v>
      </c>
      <c r="Y24">
        <f t="shared" si="23"/>
        <v>480</v>
      </c>
      <c r="AD24" s="158">
        <f t="shared" si="25"/>
        <v>8</v>
      </c>
      <c r="AE24" s="158">
        <f t="shared" si="26"/>
        <v>0</v>
      </c>
      <c r="AF24" s="64">
        <f t="shared" si="27"/>
        <v>8</v>
      </c>
      <c r="AG24" s="169">
        <f t="shared" si="28"/>
        <v>16</v>
      </c>
      <c r="AH24" s="169">
        <f t="shared" si="29"/>
        <v>0</v>
      </c>
      <c r="AI24" s="64">
        <f t="shared" si="30"/>
        <v>16</v>
      </c>
      <c r="AJ24" s="169">
        <f t="shared" si="31"/>
        <v>8</v>
      </c>
      <c r="AK24" s="169">
        <f t="shared" si="32"/>
        <v>0</v>
      </c>
      <c r="AL24" s="64">
        <f t="shared" si="33"/>
        <v>8</v>
      </c>
    </row>
    <row r="25" spans="1:38" ht="15.75" x14ac:dyDescent="0.25">
      <c r="A25" s="2">
        <f t="shared" si="24"/>
        <v>46371</v>
      </c>
      <c r="B25" s="2">
        <f t="shared" si="15"/>
        <v>84</v>
      </c>
      <c r="C25" s="54" t="str">
        <f t="shared" si="0"/>
        <v>15.12. wtorek</v>
      </c>
      <c r="D25" s="159"/>
      <c r="E25" s="117" t="str">
        <f t="shared" si="16"/>
        <v xml:space="preserve"> </v>
      </c>
      <c r="F25" s="115">
        <v>8</v>
      </c>
      <c r="G25" s="115">
        <v>16</v>
      </c>
      <c r="H25" s="55">
        <f t="shared" si="1"/>
        <v>8</v>
      </c>
      <c r="I25" s="55">
        <f t="shared" si="2"/>
        <v>0</v>
      </c>
      <c r="J25" s="56">
        <f t="shared" si="3"/>
        <v>0</v>
      </c>
      <c r="K25" s="57">
        <f t="shared" si="34"/>
        <v>1</v>
      </c>
      <c r="L25" s="57">
        <f t="shared" si="17"/>
        <v>0</v>
      </c>
      <c r="M25" s="58" t="str">
        <f t="shared" si="4"/>
        <v>przerwa1</v>
      </c>
      <c r="N25" s="57">
        <f t="shared" si="18"/>
        <v>1</v>
      </c>
      <c r="O25" s="138"/>
      <c r="P25" s="149"/>
      <c r="Q25" s="138"/>
      <c r="R25" s="8"/>
      <c r="S25" s="60">
        <f t="shared" si="5"/>
        <v>0</v>
      </c>
      <c r="T25" s="60" t="str">
        <f t="shared" si="19"/>
        <v xml:space="preserve"> </v>
      </c>
      <c r="U25" s="60" t="str">
        <f t="shared" si="20"/>
        <v xml:space="preserve"> </v>
      </c>
      <c r="W25">
        <f t="shared" si="21"/>
        <v>480</v>
      </c>
      <c r="X25">
        <f t="shared" si="22"/>
        <v>0</v>
      </c>
      <c r="Y25">
        <f t="shared" si="23"/>
        <v>480</v>
      </c>
      <c r="AD25" s="158">
        <f t="shared" si="25"/>
        <v>8</v>
      </c>
      <c r="AE25" s="158">
        <f t="shared" si="26"/>
        <v>0</v>
      </c>
      <c r="AF25" s="64">
        <f t="shared" si="27"/>
        <v>8</v>
      </c>
      <c r="AG25" s="169">
        <f t="shared" si="28"/>
        <v>16</v>
      </c>
      <c r="AH25" s="169">
        <f t="shared" si="29"/>
        <v>0</v>
      </c>
      <c r="AI25" s="64">
        <f t="shared" si="30"/>
        <v>16</v>
      </c>
      <c r="AJ25" s="169">
        <f t="shared" si="31"/>
        <v>8</v>
      </c>
      <c r="AK25" s="169">
        <f t="shared" si="32"/>
        <v>0</v>
      </c>
      <c r="AL25" s="64">
        <f t="shared" si="33"/>
        <v>8</v>
      </c>
    </row>
    <row r="26" spans="1:38" ht="15.75" x14ac:dyDescent="0.25">
      <c r="A26" s="2">
        <f t="shared" si="24"/>
        <v>46372</v>
      </c>
      <c r="B26" s="2">
        <f t="shared" si="15"/>
        <v>84</v>
      </c>
      <c r="C26" s="54" t="str">
        <f t="shared" si="0"/>
        <v>16.12. środa</v>
      </c>
      <c r="D26" s="159"/>
      <c r="E26" s="117" t="str">
        <f t="shared" si="16"/>
        <v xml:space="preserve"> </v>
      </c>
      <c r="F26" s="115">
        <v>8</v>
      </c>
      <c r="G26" s="115">
        <v>16</v>
      </c>
      <c r="H26" s="55">
        <f t="shared" si="1"/>
        <v>8</v>
      </c>
      <c r="I26" s="55">
        <f t="shared" si="2"/>
        <v>0</v>
      </c>
      <c r="J26" s="56">
        <f t="shared" si="3"/>
        <v>0</v>
      </c>
      <c r="K26" s="57">
        <f t="shared" si="34"/>
        <v>1</v>
      </c>
      <c r="L26" s="57">
        <f t="shared" si="17"/>
        <v>0</v>
      </c>
      <c r="M26" s="58" t="str">
        <f t="shared" si="4"/>
        <v>przerwa1</v>
      </c>
      <c r="N26" s="57">
        <f t="shared" si="18"/>
        <v>1</v>
      </c>
      <c r="O26" s="138"/>
      <c r="P26" s="149"/>
      <c r="Q26" s="138"/>
      <c r="R26" s="8"/>
      <c r="S26" s="60">
        <f t="shared" si="5"/>
        <v>0</v>
      </c>
      <c r="T26" s="60" t="str">
        <f t="shared" si="19"/>
        <v xml:space="preserve"> </v>
      </c>
      <c r="U26" s="60" t="str">
        <f t="shared" si="20"/>
        <v xml:space="preserve"> </v>
      </c>
      <c r="W26">
        <f t="shared" si="21"/>
        <v>480</v>
      </c>
      <c r="X26">
        <f t="shared" si="22"/>
        <v>0</v>
      </c>
      <c r="Y26">
        <f t="shared" si="23"/>
        <v>480</v>
      </c>
      <c r="AD26" s="158">
        <f t="shared" si="25"/>
        <v>8</v>
      </c>
      <c r="AE26" s="158">
        <f t="shared" si="26"/>
        <v>0</v>
      </c>
      <c r="AF26" s="64">
        <f t="shared" si="27"/>
        <v>8</v>
      </c>
      <c r="AG26" s="169">
        <f t="shared" si="28"/>
        <v>16</v>
      </c>
      <c r="AH26" s="169">
        <f t="shared" si="29"/>
        <v>0</v>
      </c>
      <c r="AI26" s="64">
        <f t="shared" si="30"/>
        <v>16</v>
      </c>
      <c r="AJ26" s="169">
        <f t="shared" si="31"/>
        <v>8</v>
      </c>
      <c r="AK26" s="169">
        <f t="shared" si="32"/>
        <v>0</v>
      </c>
      <c r="AL26" s="64">
        <f t="shared" si="33"/>
        <v>8</v>
      </c>
    </row>
    <row r="27" spans="1:38" ht="15.75" x14ac:dyDescent="0.25">
      <c r="A27" s="2">
        <f t="shared" si="24"/>
        <v>46373</v>
      </c>
      <c r="B27" s="2">
        <f t="shared" si="15"/>
        <v>84</v>
      </c>
      <c r="C27" s="54" t="str">
        <f t="shared" si="0"/>
        <v>17.12. czwartek</v>
      </c>
      <c r="D27" s="159"/>
      <c r="E27" s="117" t="str">
        <f t="shared" si="16"/>
        <v xml:space="preserve"> </v>
      </c>
      <c r="F27" s="115">
        <v>8</v>
      </c>
      <c r="G27" s="115">
        <v>16</v>
      </c>
      <c r="H27" s="55">
        <f t="shared" si="1"/>
        <v>8</v>
      </c>
      <c r="I27" s="55">
        <f t="shared" si="2"/>
        <v>0</v>
      </c>
      <c r="J27" s="56">
        <f t="shared" si="3"/>
        <v>0</v>
      </c>
      <c r="K27" s="57">
        <f t="shared" si="34"/>
        <v>1</v>
      </c>
      <c r="L27" s="57">
        <f t="shared" si="17"/>
        <v>0</v>
      </c>
      <c r="M27" s="58" t="str">
        <f t="shared" si="4"/>
        <v>przerwa1</v>
      </c>
      <c r="N27" s="57">
        <f t="shared" si="18"/>
        <v>1</v>
      </c>
      <c r="O27" s="138"/>
      <c r="P27" s="149"/>
      <c r="Q27" s="138"/>
      <c r="R27" s="8"/>
      <c r="S27" s="60">
        <f t="shared" si="5"/>
        <v>0</v>
      </c>
      <c r="T27" s="60" t="str">
        <f t="shared" si="19"/>
        <v xml:space="preserve"> </v>
      </c>
      <c r="U27" s="60" t="str">
        <f t="shared" si="20"/>
        <v xml:space="preserve"> </v>
      </c>
      <c r="W27">
        <f t="shared" si="21"/>
        <v>480</v>
      </c>
      <c r="X27">
        <f t="shared" si="22"/>
        <v>0</v>
      </c>
      <c r="Y27">
        <f t="shared" si="23"/>
        <v>480</v>
      </c>
      <c r="AD27" s="158">
        <f t="shared" si="25"/>
        <v>8</v>
      </c>
      <c r="AE27" s="158">
        <f t="shared" si="26"/>
        <v>0</v>
      </c>
      <c r="AF27" s="64">
        <f t="shared" si="27"/>
        <v>8</v>
      </c>
      <c r="AG27" s="169">
        <f t="shared" si="28"/>
        <v>16</v>
      </c>
      <c r="AH27" s="169">
        <f t="shared" si="29"/>
        <v>0</v>
      </c>
      <c r="AI27" s="64">
        <f t="shared" si="30"/>
        <v>16</v>
      </c>
      <c r="AJ27" s="169">
        <f t="shared" si="31"/>
        <v>8</v>
      </c>
      <c r="AK27" s="169">
        <f t="shared" si="32"/>
        <v>0</v>
      </c>
      <c r="AL27" s="64">
        <f t="shared" si="33"/>
        <v>8</v>
      </c>
    </row>
    <row r="28" spans="1:38" ht="15.75" x14ac:dyDescent="0.25">
      <c r="A28" s="2">
        <f t="shared" si="24"/>
        <v>46374</v>
      </c>
      <c r="B28" s="2">
        <f t="shared" si="15"/>
        <v>84</v>
      </c>
      <c r="C28" s="54" t="str">
        <f t="shared" si="0"/>
        <v>18.12. piątek</v>
      </c>
      <c r="D28" s="159"/>
      <c r="E28" s="117" t="str">
        <f t="shared" si="16"/>
        <v xml:space="preserve"> </v>
      </c>
      <c r="F28" s="115">
        <v>8</v>
      </c>
      <c r="G28" s="115">
        <v>16</v>
      </c>
      <c r="H28" s="55">
        <f t="shared" si="1"/>
        <v>8</v>
      </c>
      <c r="I28" s="55">
        <f t="shared" si="2"/>
        <v>0</v>
      </c>
      <c r="J28" s="56">
        <f t="shared" si="3"/>
        <v>0</v>
      </c>
      <c r="K28" s="57">
        <f t="shared" si="34"/>
        <v>1</v>
      </c>
      <c r="L28" s="57">
        <f t="shared" si="17"/>
        <v>0</v>
      </c>
      <c r="M28" s="58" t="str">
        <f t="shared" si="4"/>
        <v>przerwa1</v>
      </c>
      <c r="N28" s="57">
        <f t="shared" si="18"/>
        <v>1</v>
      </c>
      <c r="O28" s="138"/>
      <c r="P28" s="149"/>
      <c r="Q28" s="138"/>
      <c r="R28" s="8"/>
      <c r="S28" s="60">
        <f t="shared" si="5"/>
        <v>0</v>
      </c>
      <c r="T28" s="60" t="str">
        <f t="shared" si="19"/>
        <v xml:space="preserve"> </v>
      </c>
      <c r="U28" s="60" t="str">
        <f t="shared" si="20"/>
        <v xml:space="preserve"> </v>
      </c>
      <c r="W28">
        <f t="shared" si="21"/>
        <v>480</v>
      </c>
      <c r="X28">
        <f t="shared" si="22"/>
        <v>0</v>
      </c>
      <c r="Y28">
        <f t="shared" si="23"/>
        <v>480</v>
      </c>
      <c r="AD28" s="158">
        <f t="shared" si="25"/>
        <v>8</v>
      </c>
      <c r="AE28" s="158">
        <f t="shared" si="26"/>
        <v>0</v>
      </c>
      <c r="AF28" s="64">
        <f t="shared" si="27"/>
        <v>8</v>
      </c>
      <c r="AG28" s="169">
        <f t="shared" si="28"/>
        <v>16</v>
      </c>
      <c r="AH28" s="169">
        <f t="shared" si="29"/>
        <v>0</v>
      </c>
      <c r="AI28" s="64">
        <f t="shared" si="30"/>
        <v>16</v>
      </c>
      <c r="AJ28" s="169">
        <f t="shared" si="31"/>
        <v>8</v>
      </c>
      <c r="AK28" s="169">
        <f t="shared" si="32"/>
        <v>0</v>
      </c>
      <c r="AL28" s="64">
        <f t="shared" si="33"/>
        <v>8</v>
      </c>
    </row>
    <row r="29" spans="1:38" ht="15.75" x14ac:dyDescent="0.25">
      <c r="A29" s="2">
        <f t="shared" si="24"/>
        <v>46375</v>
      </c>
      <c r="B29" s="2">
        <f t="shared" si="15"/>
        <v>84</v>
      </c>
      <c r="C29" s="54" t="str">
        <f t="shared" si="0"/>
        <v>19.12. sobota</v>
      </c>
      <c r="D29" s="159" t="s">
        <v>47</v>
      </c>
      <c r="E29" s="117" t="str">
        <f t="shared" si="16"/>
        <v>wolne</v>
      </c>
      <c r="F29" s="115"/>
      <c r="G29" s="115"/>
      <c r="H29" s="55" t="str">
        <f t="shared" si="1"/>
        <v/>
      </c>
      <c r="I29" s="55" t="str">
        <f t="shared" si="2"/>
        <v/>
      </c>
      <c r="J29" s="56" t="str">
        <f t="shared" si="3"/>
        <v/>
      </c>
      <c r="K29" s="57">
        <f t="shared" si="34"/>
        <v>0</v>
      </c>
      <c r="L29" s="57">
        <f t="shared" si="17"/>
        <v>0</v>
      </c>
      <c r="M29" s="58" t="str">
        <f t="shared" si="4"/>
        <v>przerwa1</v>
      </c>
      <c r="N29" s="57">
        <f t="shared" si="18"/>
        <v>0</v>
      </c>
      <c r="O29" s="138"/>
      <c r="P29" s="149"/>
      <c r="Q29" s="138"/>
      <c r="R29" s="8"/>
      <c r="S29" s="60" t="str">
        <f t="shared" si="5"/>
        <v xml:space="preserve"> </v>
      </c>
      <c r="T29" s="60" t="str">
        <f t="shared" si="19"/>
        <v xml:space="preserve"> </v>
      </c>
      <c r="U29" s="60" t="str">
        <f t="shared" si="20"/>
        <v xml:space="preserve"> </v>
      </c>
      <c r="W29">
        <f t="shared" si="21"/>
        <v>0</v>
      </c>
      <c r="X29">
        <f t="shared" si="22"/>
        <v>0</v>
      </c>
      <c r="Y29">
        <f t="shared" si="23"/>
        <v>0</v>
      </c>
      <c r="AD29" s="158">
        <f t="shared" si="25"/>
        <v>0</v>
      </c>
      <c r="AE29" s="158">
        <f t="shared" si="26"/>
        <v>0</v>
      </c>
      <c r="AF29" s="64" t="str">
        <f t="shared" si="27"/>
        <v xml:space="preserve"> </v>
      </c>
      <c r="AG29" s="169">
        <f t="shared" si="28"/>
        <v>0</v>
      </c>
      <c r="AH29" s="169">
        <f t="shared" si="29"/>
        <v>0</v>
      </c>
      <c r="AI29" s="64" t="str">
        <f t="shared" si="30"/>
        <v xml:space="preserve"> </v>
      </c>
      <c r="AJ29" s="169" t="str">
        <f t="shared" si="31"/>
        <v/>
      </c>
      <c r="AK29" s="169" t="str">
        <f t="shared" si="32"/>
        <v/>
      </c>
      <c r="AL29" s="64" t="str">
        <f t="shared" si="33"/>
        <v xml:space="preserve"> </v>
      </c>
    </row>
    <row r="30" spans="1:38" ht="15.75" x14ac:dyDescent="0.25">
      <c r="A30" s="2">
        <f t="shared" si="24"/>
        <v>46376</v>
      </c>
      <c r="B30" s="2">
        <f t="shared" si="15"/>
        <v>84</v>
      </c>
      <c r="C30" s="54" t="str">
        <f t="shared" si="0"/>
        <v>20.12. niedziela</v>
      </c>
      <c r="D30" s="159" t="s">
        <v>47</v>
      </c>
      <c r="E30" s="117" t="str">
        <f t="shared" si="16"/>
        <v>wolne</v>
      </c>
      <c r="F30" s="115"/>
      <c r="G30" s="115"/>
      <c r="H30" s="55" t="str">
        <f t="shared" si="1"/>
        <v/>
      </c>
      <c r="I30" s="55" t="str">
        <f t="shared" si="2"/>
        <v/>
      </c>
      <c r="J30" s="56" t="str">
        <f t="shared" si="3"/>
        <v/>
      </c>
      <c r="K30" s="57">
        <f t="shared" si="34"/>
        <v>0</v>
      </c>
      <c r="L30" s="57">
        <f t="shared" si="17"/>
        <v>0</v>
      </c>
      <c r="M30" s="58" t="str">
        <f t="shared" si="4"/>
        <v>przerwa1</v>
      </c>
      <c r="N30" s="57">
        <f t="shared" si="18"/>
        <v>0</v>
      </c>
      <c r="O30" s="138"/>
      <c r="P30" s="149"/>
      <c r="Q30" s="138"/>
      <c r="R30" s="8"/>
      <c r="S30" s="60" t="str">
        <f t="shared" si="5"/>
        <v xml:space="preserve"> </v>
      </c>
      <c r="T30" s="60" t="str">
        <f t="shared" si="19"/>
        <v xml:space="preserve"> </v>
      </c>
      <c r="U30" s="60" t="str">
        <f t="shared" si="20"/>
        <v xml:space="preserve"> </v>
      </c>
      <c r="W30">
        <f t="shared" si="21"/>
        <v>0</v>
      </c>
      <c r="X30">
        <f t="shared" si="22"/>
        <v>0</v>
      </c>
      <c r="Y30">
        <f t="shared" si="23"/>
        <v>0</v>
      </c>
      <c r="AD30" s="158">
        <f t="shared" si="25"/>
        <v>0</v>
      </c>
      <c r="AE30" s="158">
        <f t="shared" si="26"/>
        <v>0</v>
      </c>
      <c r="AF30" s="64" t="str">
        <f t="shared" si="27"/>
        <v xml:space="preserve"> </v>
      </c>
      <c r="AG30" s="169">
        <f t="shared" si="28"/>
        <v>0</v>
      </c>
      <c r="AH30" s="169">
        <f t="shared" si="29"/>
        <v>0</v>
      </c>
      <c r="AI30" s="64" t="str">
        <f t="shared" si="30"/>
        <v xml:space="preserve"> </v>
      </c>
      <c r="AJ30" s="169" t="str">
        <f t="shared" si="31"/>
        <v/>
      </c>
      <c r="AK30" s="169" t="str">
        <f t="shared" si="32"/>
        <v/>
      </c>
      <c r="AL30" s="64" t="str">
        <f t="shared" si="33"/>
        <v xml:space="preserve"> </v>
      </c>
    </row>
    <row r="31" spans="1:38" ht="15.75" x14ac:dyDescent="0.25">
      <c r="A31" s="2">
        <f t="shared" si="24"/>
        <v>46377</v>
      </c>
      <c r="B31" s="2">
        <f t="shared" si="15"/>
        <v>84</v>
      </c>
      <c r="C31" s="54" t="str">
        <f t="shared" si="0"/>
        <v>21.12. poniedziałek</v>
      </c>
      <c r="D31" s="159"/>
      <c r="E31" s="117" t="str">
        <f t="shared" si="16"/>
        <v xml:space="preserve"> </v>
      </c>
      <c r="F31" s="115">
        <v>8</v>
      </c>
      <c r="G31" s="115">
        <v>16</v>
      </c>
      <c r="H31" s="55">
        <f t="shared" si="1"/>
        <v>8</v>
      </c>
      <c r="I31" s="55">
        <f t="shared" si="2"/>
        <v>0</v>
      </c>
      <c r="J31" s="56">
        <f t="shared" si="3"/>
        <v>0</v>
      </c>
      <c r="K31" s="57">
        <f t="shared" si="34"/>
        <v>1</v>
      </c>
      <c r="L31" s="57">
        <f t="shared" si="17"/>
        <v>0</v>
      </c>
      <c r="M31" s="58" t="str">
        <f t="shared" si="4"/>
        <v>przerwa1</v>
      </c>
      <c r="N31" s="57">
        <f t="shared" si="18"/>
        <v>1</v>
      </c>
      <c r="O31" s="138"/>
      <c r="P31" s="149"/>
      <c r="Q31" s="138"/>
      <c r="R31" s="8"/>
      <c r="S31" s="60">
        <f t="shared" si="5"/>
        <v>0</v>
      </c>
      <c r="T31" s="60" t="str">
        <f t="shared" si="19"/>
        <v xml:space="preserve"> </v>
      </c>
      <c r="U31" s="60" t="str">
        <f t="shared" si="20"/>
        <v xml:space="preserve"> </v>
      </c>
      <c r="W31">
        <f t="shared" si="21"/>
        <v>480</v>
      </c>
      <c r="X31">
        <f t="shared" si="22"/>
        <v>0</v>
      </c>
      <c r="Y31">
        <f t="shared" si="23"/>
        <v>480</v>
      </c>
      <c r="AD31" s="158">
        <f t="shared" si="25"/>
        <v>8</v>
      </c>
      <c r="AE31" s="158">
        <f t="shared" si="26"/>
        <v>0</v>
      </c>
      <c r="AF31" s="64">
        <f t="shared" si="27"/>
        <v>8</v>
      </c>
      <c r="AG31" s="169">
        <f t="shared" si="28"/>
        <v>16</v>
      </c>
      <c r="AH31" s="169">
        <f t="shared" si="29"/>
        <v>0</v>
      </c>
      <c r="AI31" s="64">
        <f t="shared" si="30"/>
        <v>16</v>
      </c>
      <c r="AJ31" s="169">
        <f t="shared" si="31"/>
        <v>8</v>
      </c>
      <c r="AK31" s="169">
        <f t="shared" si="32"/>
        <v>0</v>
      </c>
      <c r="AL31" s="64">
        <f t="shared" si="33"/>
        <v>8</v>
      </c>
    </row>
    <row r="32" spans="1:38" ht="15.75" x14ac:dyDescent="0.25">
      <c r="A32" s="2">
        <f t="shared" si="24"/>
        <v>46378</v>
      </c>
      <c r="B32" s="2">
        <f t="shared" si="15"/>
        <v>84</v>
      </c>
      <c r="C32" s="54" t="str">
        <f t="shared" si="0"/>
        <v>22.12. wtorek</v>
      </c>
      <c r="D32" s="159"/>
      <c r="E32" s="117" t="str">
        <f t="shared" si="16"/>
        <v xml:space="preserve"> </v>
      </c>
      <c r="F32" s="115">
        <v>8</v>
      </c>
      <c r="G32" s="115">
        <v>16</v>
      </c>
      <c r="H32" s="55">
        <f t="shared" si="1"/>
        <v>8</v>
      </c>
      <c r="I32" s="55">
        <f t="shared" si="2"/>
        <v>0</v>
      </c>
      <c r="J32" s="56">
        <f t="shared" si="3"/>
        <v>0</v>
      </c>
      <c r="K32" s="57">
        <f t="shared" si="34"/>
        <v>1</v>
      </c>
      <c r="L32" s="57">
        <f t="shared" si="17"/>
        <v>0</v>
      </c>
      <c r="M32" s="58" t="str">
        <f t="shared" si="4"/>
        <v>przerwa1</v>
      </c>
      <c r="N32" s="57">
        <f t="shared" si="18"/>
        <v>1</v>
      </c>
      <c r="O32" s="138"/>
      <c r="P32" s="149"/>
      <c r="Q32" s="138"/>
      <c r="R32" s="8"/>
      <c r="S32" s="60">
        <f t="shared" si="5"/>
        <v>0</v>
      </c>
      <c r="T32" s="60" t="str">
        <f t="shared" si="19"/>
        <v xml:space="preserve"> </v>
      </c>
      <c r="U32" s="60" t="str">
        <f t="shared" si="20"/>
        <v xml:space="preserve"> </v>
      </c>
      <c r="W32">
        <f t="shared" si="21"/>
        <v>480</v>
      </c>
      <c r="X32">
        <f t="shared" si="22"/>
        <v>0</v>
      </c>
      <c r="Y32">
        <f t="shared" si="23"/>
        <v>480</v>
      </c>
      <c r="AD32" s="158">
        <f t="shared" si="25"/>
        <v>8</v>
      </c>
      <c r="AE32" s="158">
        <f t="shared" si="26"/>
        <v>0</v>
      </c>
      <c r="AF32" s="64">
        <f t="shared" si="27"/>
        <v>8</v>
      </c>
      <c r="AG32" s="169">
        <f t="shared" si="28"/>
        <v>16</v>
      </c>
      <c r="AH32" s="169">
        <f t="shared" si="29"/>
        <v>0</v>
      </c>
      <c r="AI32" s="64">
        <f t="shared" si="30"/>
        <v>16</v>
      </c>
      <c r="AJ32" s="169">
        <f t="shared" si="31"/>
        <v>8</v>
      </c>
      <c r="AK32" s="169">
        <f t="shared" si="32"/>
        <v>0</v>
      </c>
      <c r="AL32" s="64">
        <f t="shared" si="33"/>
        <v>8</v>
      </c>
    </row>
    <row r="33" spans="1:38" ht="15.75" x14ac:dyDescent="0.25">
      <c r="A33" s="2">
        <f t="shared" si="24"/>
        <v>46379</v>
      </c>
      <c r="B33" s="2">
        <f t="shared" si="15"/>
        <v>84</v>
      </c>
      <c r="C33" s="54" t="str">
        <f t="shared" si="0"/>
        <v>23.12. środa</v>
      </c>
      <c r="D33" s="159"/>
      <c r="E33" s="117" t="str">
        <f t="shared" si="16"/>
        <v xml:space="preserve"> </v>
      </c>
      <c r="F33" s="115">
        <v>8</v>
      </c>
      <c r="G33" s="115">
        <v>16</v>
      </c>
      <c r="H33" s="55">
        <f t="shared" si="1"/>
        <v>8</v>
      </c>
      <c r="I33" s="55">
        <f t="shared" si="2"/>
        <v>0</v>
      </c>
      <c r="J33" s="56">
        <f t="shared" si="3"/>
        <v>0</v>
      </c>
      <c r="K33" s="57">
        <f t="shared" si="34"/>
        <v>1</v>
      </c>
      <c r="L33" s="57">
        <f t="shared" si="17"/>
        <v>0</v>
      </c>
      <c r="M33" s="58" t="str">
        <f t="shared" si="4"/>
        <v>przerwa1</v>
      </c>
      <c r="N33" s="57">
        <f t="shared" si="18"/>
        <v>1</v>
      </c>
      <c r="O33" s="138"/>
      <c r="P33" s="149"/>
      <c r="Q33" s="138"/>
      <c r="R33" s="8"/>
      <c r="S33" s="60">
        <f t="shared" si="5"/>
        <v>0</v>
      </c>
      <c r="T33" s="60" t="str">
        <f t="shared" si="19"/>
        <v xml:space="preserve"> </v>
      </c>
      <c r="U33" s="60" t="str">
        <f t="shared" si="20"/>
        <v xml:space="preserve"> </v>
      </c>
      <c r="W33">
        <f t="shared" si="21"/>
        <v>480</v>
      </c>
      <c r="X33">
        <f t="shared" si="22"/>
        <v>0</v>
      </c>
      <c r="Y33">
        <f t="shared" si="23"/>
        <v>480</v>
      </c>
      <c r="AD33" s="158">
        <f t="shared" si="25"/>
        <v>8</v>
      </c>
      <c r="AE33" s="158">
        <f t="shared" si="26"/>
        <v>0</v>
      </c>
      <c r="AF33" s="64">
        <f t="shared" si="27"/>
        <v>8</v>
      </c>
      <c r="AG33" s="169">
        <f t="shared" si="28"/>
        <v>16</v>
      </c>
      <c r="AH33" s="169">
        <f t="shared" si="29"/>
        <v>0</v>
      </c>
      <c r="AI33" s="64">
        <f t="shared" si="30"/>
        <v>16</v>
      </c>
      <c r="AJ33" s="169">
        <f t="shared" si="31"/>
        <v>8</v>
      </c>
      <c r="AK33" s="169">
        <f t="shared" si="32"/>
        <v>0</v>
      </c>
      <c r="AL33" s="64">
        <f t="shared" si="33"/>
        <v>8</v>
      </c>
    </row>
    <row r="34" spans="1:38" ht="15.75" x14ac:dyDescent="0.25">
      <c r="A34" s="2">
        <f t="shared" si="24"/>
        <v>46380</v>
      </c>
      <c r="B34" s="2">
        <f t="shared" si="15"/>
        <v>84</v>
      </c>
      <c r="C34" s="54" t="str">
        <f t="shared" si="0"/>
        <v>24.12. czwartek</v>
      </c>
      <c r="D34" s="159" t="s">
        <v>47</v>
      </c>
      <c r="E34" s="117" t="str">
        <f t="shared" si="16"/>
        <v>wolne</v>
      </c>
      <c r="F34" s="115"/>
      <c r="G34" s="115"/>
      <c r="H34" s="55" t="str">
        <f t="shared" si="1"/>
        <v/>
      </c>
      <c r="I34" s="55" t="str">
        <f t="shared" si="2"/>
        <v/>
      </c>
      <c r="J34" s="56" t="str">
        <f t="shared" si="3"/>
        <v/>
      </c>
      <c r="K34" s="57">
        <f t="shared" si="34"/>
        <v>0</v>
      </c>
      <c r="L34" s="57">
        <f t="shared" si="17"/>
        <v>0</v>
      </c>
      <c r="M34" s="58" t="str">
        <f t="shared" si="4"/>
        <v>przerwa1</v>
      </c>
      <c r="N34" s="57">
        <f t="shared" si="18"/>
        <v>0</v>
      </c>
      <c r="O34" s="138"/>
      <c r="P34" s="149"/>
      <c r="Q34" s="138"/>
      <c r="R34" s="8"/>
      <c r="S34" s="60" t="str">
        <f t="shared" si="5"/>
        <v xml:space="preserve"> </v>
      </c>
      <c r="T34" s="60" t="str">
        <f t="shared" si="19"/>
        <v xml:space="preserve"> </v>
      </c>
      <c r="U34" s="60" t="str">
        <f t="shared" si="20"/>
        <v xml:space="preserve"> </v>
      </c>
      <c r="W34">
        <f t="shared" si="21"/>
        <v>0</v>
      </c>
      <c r="X34">
        <f t="shared" si="22"/>
        <v>0</v>
      </c>
      <c r="Y34">
        <f t="shared" si="23"/>
        <v>0</v>
      </c>
      <c r="AD34" s="158">
        <f t="shared" si="25"/>
        <v>0</v>
      </c>
      <c r="AE34" s="158">
        <f t="shared" si="26"/>
        <v>0</v>
      </c>
      <c r="AF34" s="64" t="str">
        <f t="shared" si="27"/>
        <v xml:space="preserve"> </v>
      </c>
      <c r="AG34" s="169">
        <f t="shared" si="28"/>
        <v>0</v>
      </c>
      <c r="AH34" s="169">
        <f t="shared" si="29"/>
        <v>0</v>
      </c>
      <c r="AI34" s="64" t="str">
        <f t="shared" si="30"/>
        <v xml:space="preserve"> </v>
      </c>
      <c r="AJ34" s="169" t="str">
        <f t="shared" si="31"/>
        <v/>
      </c>
      <c r="AK34" s="169" t="str">
        <f t="shared" si="32"/>
        <v/>
      </c>
      <c r="AL34" s="64" t="str">
        <f t="shared" si="33"/>
        <v xml:space="preserve"> </v>
      </c>
    </row>
    <row r="35" spans="1:38" ht="15.75" x14ac:dyDescent="0.25">
      <c r="A35" s="2">
        <f t="shared" si="24"/>
        <v>46381</v>
      </c>
      <c r="B35" s="2">
        <f t="shared" si="15"/>
        <v>84</v>
      </c>
      <c r="C35" s="54" t="str">
        <f t="shared" si="0"/>
        <v>25.12. piątek</v>
      </c>
      <c r="D35" s="159" t="s">
        <v>47</v>
      </c>
      <c r="E35" s="117" t="str">
        <f t="shared" si="16"/>
        <v>wolne</v>
      </c>
      <c r="F35" s="115"/>
      <c r="G35" s="115"/>
      <c r="H35" s="55" t="str">
        <f t="shared" si="1"/>
        <v/>
      </c>
      <c r="I35" s="55" t="str">
        <f t="shared" si="2"/>
        <v/>
      </c>
      <c r="J35" s="56" t="str">
        <f t="shared" si="3"/>
        <v/>
      </c>
      <c r="K35" s="57">
        <f t="shared" si="34"/>
        <v>0</v>
      </c>
      <c r="L35" s="57">
        <f t="shared" si="17"/>
        <v>0</v>
      </c>
      <c r="M35" s="58" t="str">
        <f t="shared" si="4"/>
        <v>przerwa1</v>
      </c>
      <c r="N35" s="57">
        <f t="shared" si="18"/>
        <v>0</v>
      </c>
      <c r="O35" s="138"/>
      <c r="P35" s="149"/>
      <c r="Q35" s="138"/>
      <c r="R35" s="8"/>
      <c r="S35" s="60" t="str">
        <f t="shared" si="5"/>
        <v xml:space="preserve"> </v>
      </c>
      <c r="T35" s="60" t="str">
        <f t="shared" si="19"/>
        <v xml:space="preserve"> </v>
      </c>
      <c r="U35" s="60" t="str">
        <f t="shared" si="20"/>
        <v xml:space="preserve"> </v>
      </c>
      <c r="W35">
        <f t="shared" si="21"/>
        <v>0</v>
      </c>
      <c r="X35">
        <f t="shared" si="22"/>
        <v>0</v>
      </c>
      <c r="Y35">
        <f t="shared" si="23"/>
        <v>0</v>
      </c>
      <c r="AD35" s="158">
        <f t="shared" si="25"/>
        <v>0</v>
      </c>
      <c r="AE35" s="158">
        <f t="shared" si="26"/>
        <v>0</v>
      </c>
      <c r="AF35" s="64" t="str">
        <f t="shared" si="27"/>
        <v xml:space="preserve"> </v>
      </c>
      <c r="AG35" s="169">
        <f t="shared" si="28"/>
        <v>0</v>
      </c>
      <c r="AH35" s="169">
        <f t="shared" si="29"/>
        <v>0</v>
      </c>
      <c r="AI35" s="64" t="str">
        <f t="shared" si="30"/>
        <v xml:space="preserve"> </v>
      </c>
      <c r="AJ35" s="169" t="str">
        <f t="shared" si="31"/>
        <v/>
      </c>
      <c r="AK35" s="169" t="str">
        <f t="shared" si="32"/>
        <v/>
      </c>
      <c r="AL35" s="64" t="str">
        <f t="shared" si="33"/>
        <v xml:space="preserve"> </v>
      </c>
    </row>
    <row r="36" spans="1:38" ht="15.75" x14ac:dyDescent="0.25">
      <c r="A36" s="2">
        <f t="shared" si="24"/>
        <v>46382</v>
      </c>
      <c r="B36" s="2">
        <f t="shared" si="15"/>
        <v>84</v>
      </c>
      <c r="C36" s="54" t="str">
        <f t="shared" si="0"/>
        <v>26.12. sobota</v>
      </c>
      <c r="D36" s="159" t="s">
        <v>47</v>
      </c>
      <c r="E36" s="117" t="str">
        <f t="shared" si="16"/>
        <v>wolne</v>
      </c>
      <c r="F36" s="115"/>
      <c r="G36" s="115"/>
      <c r="H36" s="55" t="str">
        <f t="shared" si="1"/>
        <v/>
      </c>
      <c r="I36" s="55" t="str">
        <f t="shared" si="2"/>
        <v/>
      </c>
      <c r="J36" s="56" t="str">
        <f t="shared" si="3"/>
        <v/>
      </c>
      <c r="K36" s="57">
        <f t="shared" si="34"/>
        <v>0</v>
      </c>
      <c r="L36" s="57">
        <f t="shared" si="17"/>
        <v>0</v>
      </c>
      <c r="M36" s="58" t="str">
        <f t="shared" si="4"/>
        <v>przerwa1</v>
      </c>
      <c r="N36" s="57">
        <f t="shared" si="18"/>
        <v>0</v>
      </c>
      <c r="O36" s="138"/>
      <c r="P36" s="149"/>
      <c r="Q36" s="138"/>
      <c r="R36" s="8"/>
      <c r="S36" s="60" t="str">
        <f t="shared" si="5"/>
        <v xml:space="preserve"> </v>
      </c>
      <c r="T36" s="60" t="str">
        <f t="shared" si="19"/>
        <v xml:space="preserve"> </v>
      </c>
      <c r="U36" s="60" t="str">
        <f t="shared" si="20"/>
        <v xml:space="preserve"> </v>
      </c>
      <c r="W36">
        <f t="shared" si="21"/>
        <v>0</v>
      </c>
      <c r="X36">
        <f t="shared" si="22"/>
        <v>0</v>
      </c>
      <c r="Y36">
        <f t="shared" si="23"/>
        <v>0</v>
      </c>
      <c r="AD36" s="158">
        <f t="shared" si="25"/>
        <v>0</v>
      </c>
      <c r="AE36" s="158">
        <f t="shared" si="26"/>
        <v>0</v>
      </c>
      <c r="AF36" s="64" t="str">
        <f t="shared" si="27"/>
        <v xml:space="preserve"> </v>
      </c>
      <c r="AG36" s="169">
        <f t="shared" si="28"/>
        <v>0</v>
      </c>
      <c r="AH36" s="169">
        <f t="shared" si="29"/>
        <v>0</v>
      </c>
      <c r="AI36" s="64" t="str">
        <f t="shared" si="30"/>
        <v xml:space="preserve"> </v>
      </c>
      <c r="AJ36" s="169" t="str">
        <f t="shared" si="31"/>
        <v/>
      </c>
      <c r="AK36" s="169" t="str">
        <f t="shared" si="32"/>
        <v/>
      </c>
      <c r="AL36" s="64" t="str">
        <f t="shared" si="33"/>
        <v xml:space="preserve"> </v>
      </c>
    </row>
    <row r="37" spans="1:38" ht="15.75" x14ac:dyDescent="0.25">
      <c r="A37" s="2">
        <f t="shared" si="24"/>
        <v>46383</v>
      </c>
      <c r="B37" s="2">
        <f t="shared" si="15"/>
        <v>84</v>
      </c>
      <c r="C37" s="54" t="str">
        <f t="shared" si="0"/>
        <v>27.12. niedziela</v>
      </c>
      <c r="D37" s="159" t="s">
        <v>47</v>
      </c>
      <c r="E37" s="117" t="str">
        <f t="shared" si="16"/>
        <v>wolne</v>
      </c>
      <c r="F37" s="115"/>
      <c r="G37" s="115"/>
      <c r="H37" s="55" t="str">
        <f t="shared" si="1"/>
        <v/>
      </c>
      <c r="I37" s="55" t="str">
        <f t="shared" si="2"/>
        <v/>
      </c>
      <c r="J37" s="56" t="str">
        <f t="shared" si="3"/>
        <v/>
      </c>
      <c r="K37" s="57">
        <f t="shared" si="34"/>
        <v>0</v>
      </c>
      <c r="L37" s="57">
        <f t="shared" si="17"/>
        <v>0</v>
      </c>
      <c r="M37" s="58" t="str">
        <f t="shared" si="4"/>
        <v>przerwa1</v>
      </c>
      <c r="N37" s="57">
        <f t="shared" si="18"/>
        <v>0</v>
      </c>
      <c r="O37" s="138"/>
      <c r="P37" s="149"/>
      <c r="Q37" s="138"/>
      <c r="R37" s="8"/>
      <c r="S37" s="60" t="str">
        <f t="shared" si="5"/>
        <v xml:space="preserve"> </v>
      </c>
      <c r="T37" s="60" t="str">
        <f t="shared" si="19"/>
        <v xml:space="preserve"> </v>
      </c>
      <c r="U37" s="60" t="str">
        <f t="shared" si="20"/>
        <v xml:space="preserve"> </v>
      </c>
      <c r="W37">
        <f t="shared" si="21"/>
        <v>0</v>
      </c>
      <c r="X37">
        <f t="shared" si="22"/>
        <v>0</v>
      </c>
      <c r="Y37">
        <f t="shared" si="23"/>
        <v>0</v>
      </c>
      <c r="AD37" s="158">
        <f t="shared" si="25"/>
        <v>0</v>
      </c>
      <c r="AE37" s="158">
        <f t="shared" si="26"/>
        <v>0</v>
      </c>
      <c r="AF37" s="64" t="str">
        <f t="shared" si="27"/>
        <v xml:space="preserve"> </v>
      </c>
      <c r="AG37" s="169">
        <f t="shared" si="28"/>
        <v>0</v>
      </c>
      <c r="AH37" s="169">
        <f t="shared" si="29"/>
        <v>0</v>
      </c>
      <c r="AI37" s="64" t="str">
        <f t="shared" si="30"/>
        <v xml:space="preserve"> </v>
      </c>
      <c r="AJ37" s="169" t="str">
        <f t="shared" si="31"/>
        <v/>
      </c>
      <c r="AK37" s="169" t="str">
        <f t="shared" si="32"/>
        <v/>
      </c>
      <c r="AL37" s="64" t="str">
        <f t="shared" si="33"/>
        <v xml:space="preserve"> </v>
      </c>
    </row>
    <row r="38" spans="1:38" ht="15.75" x14ac:dyDescent="0.25">
      <c r="A38" s="2">
        <f t="shared" si="24"/>
        <v>46384</v>
      </c>
      <c r="B38" s="2">
        <f t="shared" si="15"/>
        <v>84</v>
      </c>
      <c r="C38" s="54" t="str">
        <f t="shared" si="0"/>
        <v>28.12. poniedziałek</v>
      </c>
      <c r="D38" s="159"/>
      <c r="E38" s="117" t="str">
        <f t="shared" si="16"/>
        <v xml:space="preserve"> </v>
      </c>
      <c r="F38" s="115">
        <v>8</v>
      </c>
      <c r="G38" s="115">
        <v>16</v>
      </c>
      <c r="H38" s="55">
        <f t="shared" si="1"/>
        <v>8</v>
      </c>
      <c r="I38" s="55">
        <f t="shared" si="2"/>
        <v>0</v>
      </c>
      <c r="J38" s="56">
        <f t="shared" si="3"/>
        <v>0</v>
      </c>
      <c r="K38" s="57">
        <f t="shared" si="34"/>
        <v>1</v>
      </c>
      <c r="L38" s="57">
        <f t="shared" si="17"/>
        <v>0</v>
      </c>
      <c r="M38" s="58" t="str">
        <f t="shared" si="4"/>
        <v>przerwa1</v>
      </c>
      <c r="N38" s="57">
        <f t="shared" si="18"/>
        <v>1</v>
      </c>
      <c r="O38" s="138"/>
      <c r="P38" s="149"/>
      <c r="Q38" s="138"/>
      <c r="R38" s="8"/>
      <c r="S38" s="60">
        <f t="shared" si="5"/>
        <v>0</v>
      </c>
      <c r="T38" s="60" t="str">
        <f t="shared" si="19"/>
        <v xml:space="preserve"> </v>
      </c>
      <c r="U38" s="60" t="str">
        <f t="shared" si="20"/>
        <v xml:space="preserve"> </v>
      </c>
      <c r="W38">
        <f t="shared" si="21"/>
        <v>480</v>
      </c>
      <c r="X38">
        <f t="shared" si="22"/>
        <v>0</v>
      </c>
      <c r="Y38">
        <f t="shared" si="23"/>
        <v>480</v>
      </c>
      <c r="AD38" s="158">
        <f t="shared" si="25"/>
        <v>8</v>
      </c>
      <c r="AE38" s="158">
        <f t="shared" si="26"/>
        <v>0</v>
      </c>
      <c r="AF38" s="64">
        <f t="shared" si="27"/>
        <v>8</v>
      </c>
      <c r="AG38" s="169">
        <f t="shared" si="28"/>
        <v>16</v>
      </c>
      <c r="AH38" s="169">
        <f t="shared" si="29"/>
        <v>0</v>
      </c>
      <c r="AI38" s="64">
        <f t="shared" si="30"/>
        <v>16</v>
      </c>
      <c r="AJ38" s="169">
        <f t="shared" si="31"/>
        <v>8</v>
      </c>
      <c r="AK38" s="169">
        <f t="shared" si="32"/>
        <v>0</v>
      </c>
      <c r="AL38" s="64">
        <f t="shared" si="33"/>
        <v>8</v>
      </c>
    </row>
    <row r="39" spans="1:38" ht="15.75" x14ac:dyDescent="0.25">
      <c r="A39" s="2">
        <f t="shared" si="24"/>
        <v>46385</v>
      </c>
      <c r="B39" s="2">
        <f t="shared" si="15"/>
        <v>84</v>
      </c>
      <c r="C39" s="54" t="str">
        <f t="shared" si="0"/>
        <v>29.12. wtorek</v>
      </c>
      <c r="D39" s="159"/>
      <c r="E39" s="117" t="str">
        <f t="shared" si="16"/>
        <v xml:space="preserve"> </v>
      </c>
      <c r="F39" s="115">
        <v>8</v>
      </c>
      <c r="G39" s="115">
        <v>16</v>
      </c>
      <c r="H39" s="55">
        <f t="shared" si="1"/>
        <v>8</v>
      </c>
      <c r="I39" s="55">
        <f t="shared" si="2"/>
        <v>0</v>
      </c>
      <c r="J39" s="56">
        <f t="shared" si="3"/>
        <v>0</v>
      </c>
      <c r="K39" s="57">
        <f t="shared" si="34"/>
        <v>1</v>
      </c>
      <c r="L39" s="57">
        <f t="shared" si="17"/>
        <v>0</v>
      </c>
      <c r="M39" s="58" t="str">
        <f t="shared" si="4"/>
        <v>przerwa1</v>
      </c>
      <c r="N39" s="57">
        <f t="shared" si="18"/>
        <v>1</v>
      </c>
      <c r="O39" s="138"/>
      <c r="P39" s="149"/>
      <c r="Q39" s="138"/>
      <c r="R39" s="8"/>
      <c r="S39" s="60">
        <f t="shared" si="5"/>
        <v>0</v>
      </c>
      <c r="T39" s="60" t="str">
        <f t="shared" si="19"/>
        <v xml:space="preserve"> </v>
      </c>
      <c r="U39" s="60" t="str">
        <f t="shared" si="20"/>
        <v xml:space="preserve"> </v>
      </c>
      <c r="W39">
        <f t="shared" si="21"/>
        <v>480</v>
      </c>
      <c r="X39">
        <f t="shared" si="22"/>
        <v>0</v>
      </c>
      <c r="Y39">
        <f t="shared" si="23"/>
        <v>480</v>
      </c>
      <c r="AD39" s="158">
        <f t="shared" si="25"/>
        <v>8</v>
      </c>
      <c r="AE39" s="158">
        <f t="shared" si="26"/>
        <v>0</v>
      </c>
      <c r="AF39" s="64">
        <f t="shared" si="27"/>
        <v>8</v>
      </c>
      <c r="AG39" s="169">
        <f t="shared" si="28"/>
        <v>16</v>
      </c>
      <c r="AH39" s="169">
        <f t="shared" si="29"/>
        <v>0</v>
      </c>
      <c r="AI39" s="64">
        <f t="shared" si="30"/>
        <v>16</v>
      </c>
      <c r="AJ39" s="169">
        <f t="shared" si="31"/>
        <v>8</v>
      </c>
      <c r="AK39" s="169">
        <f t="shared" si="32"/>
        <v>0</v>
      </c>
      <c r="AL39" s="64">
        <f t="shared" si="33"/>
        <v>8</v>
      </c>
    </row>
    <row r="40" spans="1:38" ht="15.75" x14ac:dyDescent="0.25">
      <c r="A40" s="2">
        <f t="shared" si="24"/>
        <v>46386</v>
      </c>
      <c r="B40" s="2">
        <f t="shared" si="15"/>
        <v>84</v>
      </c>
      <c r="C40" s="54" t="str">
        <f t="shared" si="0"/>
        <v>30.12. środa</v>
      </c>
      <c r="D40" s="159"/>
      <c r="E40" s="117" t="str">
        <f t="shared" si="16"/>
        <v xml:space="preserve"> </v>
      </c>
      <c r="F40" s="115">
        <v>8</v>
      </c>
      <c r="G40" s="115">
        <v>16</v>
      </c>
      <c r="H40" s="55">
        <f t="shared" si="1"/>
        <v>8</v>
      </c>
      <c r="I40" s="55">
        <f t="shared" si="2"/>
        <v>0</v>
      </c>
      <c r="J40" s="56">
        <f t="shared" si="3"/>
        <v>0</v>
      </c>
      <c r="K40" s="57">
        <f t="shared" si="34"/>
        <v>1</v>
      </c>
      <c r="L40" s="57">
        <f t="shared" si="17"/>
        <v>0</v>
      </c>
      <c r="M40" s="58" t="str">
        <f t="shared" si="4"/>
        <v>przerwa1</v>
      </c>
      <c r="N40" s="57">
        <f t="shared" si="18"/>
        <v>1</v>
      </c>
      <c r="O40" s="138"/>
      <c r="P40" s="149"/>
      <c r="Q40" s="138"/>
      <c r="R40" s="8"/>
      <c r="S40" s="60">
        <f t="shared" si="5"/>
        <v>0</v>
      </c>
      <c r="T40" s="60" t="str">
        <f t="shared" si="19"/>
        <v xml:space="preserve"> </v>
      </c>
      <c r="U40" s="60" t="str">
        <f t="shared" si="20"/>
        <v xml:space="preserve"> </v>
      </c>
      <c r="W40">
        <f t="shared" si="21"/>
        <v>480</v>
      </c>
      <c r="X40">
        <f t="shared" si="22"/>
        <v>0</v>
      </c>
      <c r="Y40">
        <f t="shared" si="23"/>
        <v>480</v>
      </c>
      <c r="AD40" s="158">
        <f t="shared" si="25"/>
        <v>8</v>
      </c>
      <c r="AE40" s="158">
        <f t="shared" si="26"/>
        <v>0</v>
      </c>
      <c r="AF40" s="64">
        <f t="shared" si="27"/>
        <v>8</v>
      </c>
      <c r="AG40" s="169">
        <f t="shared" si="28"/>
        <v>16</v>
      </c>
      <c r="AH40" s="169">
        <f t="shared" si="29"/>
        <v>0</v>
      </c>
      <c r="AI40" s="64">
        <f t="shared" si="30"/>
        <v>16</v>
      </c>
      <c r="AJ40" s="169">
        <f t="shared" si="31"/>
        <v>8</v>
      </c>
      <c r="AK40" s="169">
        <f t="shared" si="32"/>
        <v>0</v>
      </c>
      <c r="AL40" s="64">
        <f t="shared" si="33"/>
        <v>8</v>
      </c>
    </row>
    <row r="41" spans="1:38" ht="15.75" x14ac:dyDescent="0.25">
      <c r="A41" s="2">
        <f t="shared" si="24"/>
        <v>46387</v>
      </c>
      <c r="B41" s="2">
        <f t="shared" si="15"/>
        <v>84</v>
      </c>
      <c r="C41" s="54" t="str">
        <f t="shared" si="0"/>
        <v>31.12. czwartek</v>
      </c>
      <c r="D41" s="159"/>
      <c r="E41" s="117" t="str">
        <f t="shared" si="16"/>
        <v xml:space="preserve"> </v>
      </c>
      <c r="F41" s="115">
        <v>8</v>
      </c>
      <c r="G41" s="115">
        <v>16</v>
      </c>
      <c r="H41" s="55">
        <f t="shared" si="1"/>
        <v>8</v>
      </c>
      <c r="I41" s="55">
        <f t="shared" si="2"/>
        <v>0</v>
      </c>
      <c r="J41" s="56">
        <f t="shared" si="3"/>
        <v>0</v>
      </c>
      <c r="K41" s="57">
        <f t="shared" si="34"/>
        <v>1</v>
      </c>
      <c r="L41" s="57">
        <f t="shared" si="17"/>
        <v>0</v>
      </c>
      <c r="M41" s="58" t="str">
        <f t="shared" si="4"/>
        <v>przerwa1</v>
      </c>
      <c r="N41" s="57">
        <f t="shared" si="18"/>
        <v>1</v>
      </c>
      <c r="O41" s="138"/>
      <c r="P41" s="149"/>
      <c r="Q41" s="138"/>
      <c r="R41" s="8"/>
      <c r="S41" s="60">
        <f t="shared" si="5"/>
        <v>0</v>
      </c>
      <c r="T41" s="60" t="str">
        <f t="shared" si="19"/>
        <v xml:space="preserve"> </v>
      </c>
      <c r="U41" s="60" t="str">
        <f t="shared" si="20"/>
        <v xml:space="preserve"> </v>
      </c>
      <c r="W41">
        <f t="shared" si="21"/>
        <v>480</v>
      </c>
      <c r="X41">
        <f t="shared" si="22"/>
        <v>0</v>
      </c>
      <c r="Y41">
        <f t="shared" si="23"/>
        <v>480</v>
      </c>
      <c r="AD41" s="158">
        <f t="shared" si="25"/>
        <v>8</v>
      </c>
      <c r="AE41" s="158">
        <f t="shared" si="26"/>
        <v>0</v>
      </c>
      <c r="AF41" s="64">
        <f t="shared" si="27"/>
        <v>8</v>
      </c>
      <c r="AG41" s="169">
        <f t="shared" si="28"/>
        <v>16</v>
      </c>
      <c r="AH41" s="169">
        <f t="shared" si="29"/>
        <v>0</v>
      </c>
      <c r="AI41" s="64">
        <f t="shared" si="30"/>
        <v>16</v>
      </c>
      <c r="AJ41" s="169">
        <f t="shared" si="31"/>
        <v>8</v>
      </c>
      <c r="AK41" s="169">
        <f t="shared" si="32"/>
        <v>0</v>
      </c>
      <c r="AL41" s="64">
        <f t="shared" si="33"/>
        <v>8</v>
      </c>
    </row>
    <row r="42" spans="1:38" ht="15.75" x14ac:dyDescent="0.25">
      <c r="A42" s="1"/>
      <c r="B42" s="1"/>
      <c r="C42" s="54"/>
      <c r="D42" s="116"/>
      <c r="E42" s="117"/>
      <c r="F42" s="116"/>
      <c r="G42" s="116"/>
      <c r="H42" s="55"/>
      <c r="I42" s="59"/>
      <c r="J42" s="59"/>
      <c r="K42" s="57">
        <f t="shared" si="34"/>
        <v>1</v>
      </c>
      <c r="L42" s="57">
        <f>IF(OR((D42="c"),(D42="u")),1,0)</f>
        <v>0</v>
      </c>
      <c r="M42" s="63"/>
      <c r="N42" s="57">
        <f>IF(OR((B42=83),(D42="w"),(D42="g"),(D42="c"),(D42="u")),0,1)</f>
        <v>1</v>
      </c>
      <c r="O42" s="64">
        <f>TRUNC(SUM(O11:O41)/60)+((SUM(O11:O41)/60)-(TRUNC(SUM(O11:O41)/60)))*60/100</f>
        <v>0</v>
      </c>
      <c r="P42" t="s">
        <v>132</v>
      </c>
      <c r="Q42" s="8"/>
      <c r="R42" s="8"/>
      <c r="S42" s="65">
        <f>SUM(S11:S41)</f>
        <v>0</v>
      </c>
      <c r="T42" s="66">
        <f>SUM(T11:T41)</f>
        <v>0</v>
      </c>
      <c r="U42" s="66">
        <f>SUM(U11:U41)</f>
        <v>0</v>
      </c>
    </row>
    <row r="43" spans="1:38" x14ac:dyDescent="0.25">
      <c r="A43" s="1"/>
      <c r="B43" s="1"/>
      <c r="C43" s="67"/>
      <c r="D43" s="21"/>
      <c r="E43" s="21"/>
      <c r="F43" s="21"/>
      <c r="G43" s="21"/>
      <c r="H43" s="21"/>
      <c r="I43" s="68"/>
      <c r="J43" s="68"/>
      <c r="K43" s="69"/>
      <c r="L43" s="69"/>
      <c r="M43" s="69"/>
      <c r="N43" s="70"/>
      <c r="O43" s="144"/>
      <c r="P43" s="8"/>
      <c r="Q43" s="8"/>
      <c r="R43" s="8"/>
      <c r="S43" s="71">
        <f>S42/60</f>
        <v>0</v>
      </c>
      <c r="T43" s="66"/>
      <c r="U43" s="8"/>
    </row>
    <row r="44" spans="1:38" ht="15" customHeight="1" x14ac:dyDescent="0.25">
      <c r="A44" s="1"/>
      <c r="B44" s="1"/>
      <c r="C44" s="67" t="s">
        <v>30</v>
      </c>
      <c r="D44" s="21"/>
      <c r="E44" s="72">
        <f>SUM(K11:K41)</f>
        <v>21</v>
      </c>
      <c r="F44" s="21" t="s">
        <v>31</v>
      </c>
      <c r="G44" s="21"/>
      <c r="H44" s="21"/>
      <c r="I44" s="73" t="s">
        <v>32</v>
      </c>
      <c r="J44" s="72">
        <f>SUM(N11:N41)</f>
        <v>21</v>
      </c>
      <c r="K44" s="74" t="s">
        <v>31</v>
      </c>
      <c r="L44" s="74"/>
      <c r="M44" s="74"/>
      <c r="N44" s="30"/>
      <c r="O44" s="141" t="s">
        <v>31</v>
      </c>
      <c r="P44" s="8"/>
      <c r="W44">
        <f>((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60)</f>
        <v>10080</v>
      </c>
      <c r="X44">
        <f>(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-TRUNC(((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+((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-TRUNC((((TRUNC(TRUNC((SUM(Y11:Y41)-(TRUNC(O42)*60+((O42)-TRUNC(O42))*100))/60)+(((SUM(Y11:Y41)-(TRUNC(O42)*60+((O42)-TRUNC(O42))*100))/60-TRUNC((SUM(Y11:Y41)-(TRUNC(O42)*60+((O42)-TRUNC(O42))*100))/60)))*60/100))*60)+(((TRUNC((SUM(Y11:Y41)-(TRUNC(O42)*60+((O42)-TRUNC(O42))*100))/60)+(((SUM(Y11:Y41)-(TRUNC(O42)*60+((O42)-TRUNC(O42))*100))/60-TRUNC((SUM(Y11:Y41)-(TRUNC(O42)*60+((O42)-TRUNC(O42))*100))/60)))*60/100)-TRUNC(TRUNC((SUM(Y11:Y41)-(TRUNC(O42)*60+((O42)-TRUNC(O42))*100))/60)+(((SUM(Y11:Y41)-(TRUNC(O42)*60+((O42)-TRUNC(O42))*100))/60-TRUNC((SUM(Y11:Y41)-(TRUNC(O42)*60+((O42)-TRUNC(O42))*100))/60)))*60/100))*100)+(COUNTIF(D11:D42,"gp")*320)+(COUNTIF(D11:D42,"g")*480))/60))*60/100))))*100)</f>
        <v>0</v>
      </c>
      <c r="Y44">
        <f>((TRUNC(O42)*60)+(O42-TRUNC(O42))*100)</f>
        <v>0</v>
      </c>
      <c r="Z44">
        <f>W44+X44+Y44</f>
        <v>10080</v>
      </c>
      <c r="AA44">
        <f>Z44/60</f>
        <v>168</v>
      </c>
      <c r="AB44">
        <f>TRUNC(AA44)</f>
        <v>168</v>
      </c>
      <c r="AC44">
        <f>(AA44-AB44)*60/100</f>
        <v>0</v>
      </c>
      <c r="AD44">
        <f>AB44+AC44</f>
        <v>168</v>
      </c>
    </row>
    <row r="45" spans="1:38" x14ac:dyDescent="0.25">
      <c r="A45" s="1"/>
      <c r="B45" s="1"/>
      <c r="C45" s="75" t="s">
        <v>33</v>
      </c>
      <c r="D45" s="21"/>
      <c r="E45" s="76">
        <f>ROUND(SUM(K11:K41)*godz,2)</f>
        <v>168</v>
      </c>
      <c r="F45" s="21" t="s">
        <v>34</v>
      </c>
      <c r="G45" s="21"/>
      <c r="H45" s="21"/>
      <c r="I45" s="73" t="s">
        <v>35</v>
      </c>
      <c r="J45" s="76">
        <f>AB44+AC44</f>
        <v>168</v>
      </c>
      <c r="K45" s="74" t="s">
        <v>34</v>
      </c>
      <c r="L45" s="74"/>
      <c r="M45" s="74"/>
      <c r="N45" s="30"/>
      <c r="O45" s="141" t="s">
        <v>34</v>
      </c>
      <c r="P45" s="8"/>
    </row>
    <row r="46" spans="1:38" x14ac:dyDescent="0.25">
      <c r="A46" s="1"/>
      <c r="B46" s="1"/>
      <c r="C46" s="67"/>
      <c r="D46" s="21"/>
      <c r="E46" s="76"/>
      <c r="F46" s="21"/>
      <c r="G46" s="21"/>
      <c r="H46" s="21"/>
      <c r="I46" s="73"/>
      <c r="J46" s="76"/>
      <c r="K46" s="74"/>
      <c r="L46" s="74"/>
      <c r="M46" s="74"/>
      <c r="N46" s="30"/>
      <c r="O46" s="141"/>
      <c r="P46" s="8"/>
    </row>
    <row r="47" spans="1:38" x14ac:dyDescent="0.25">
      <c r="A47" s="1"/>
      <c r="B47" s="1"/>
      <c r="C47" s="67"/>
      <c r="D47" s="21"/>
      <c r="E47" s="76"/>
      <c r="F47" s="21"/>
      <c r="G47" s="21"/>
      <c r="H47" s="21"/>
      <c r="I47" s="73" t="s">
        <v>36</v>
      </c>
      <c r="J47" s="72">
        <f>SUM(L11:L41)</f>
        <v>0</v>
      </c>
      <c r="K47" s="74" t="s">
        <v>37</v>
      </c>
      <c r="L47" s="74"/>
      <c r="M47" s="74"/>
      <c r="N47" s="30"/>
      <c r="O47" s="141" t="s">
        <v>37</v>
      </c>
      <c r="P47" s="8"/>
    </row>
    <row r="48" spans="1:38" x14ac:dyDescent="0.25">
      <c r="A48" s="1"/>
      <c r="B48" s="1"/>
      <c r="C48" s="67"/>
      <c r="D48" s="21"/>
      <c r="E48" s="21"/>
      <c r="F48" s="21"/>
      <c r="G48" s="21"/>
      <c r="H48" s="21"/>
      <c r="I48" s="73" t="s">
        <v>147</v>
      </c>
      <c r="J48" s="162"/>
      <c r="K48" s="78"/>
      <c r="L48" s="78"/>
      <c r="M48" s="78"/>
      <c r="N48" s="79"/>
      <c r="O48" s="141"/>
      <c r="P48" s="8"/>
    </row>
    <row r="49" spans="3:16" x14ac:dyDescent="0.25">
      <c r="C49" s="80" t="s">
        <v>61</v>
      </c>
      <c r="D49" s="21"/>
      <c r="E49" s="76">
        <f>TRUNC((((TRUNC(J45)*60)+(J45-TRUNC(J45))*100)-E45*60)/60)+((((((TRUNC(J45)*60)+(J45-TRUNC(J45))*100)-E45*60)/60)-TRUNC((((TRUNC(J45)*60)+(J45-TRUNC(J45))*100)-E45*60)/60))*60/100)</f>
        <v>0</v>
      </c>
      <c r="F49" s="21" t="s">
        <v>34</v>
      </c>
      <c r="G49" s="8"/>
      <c r="H49" s="73"/>
      <c r="I49" s="73" t="s">
        <v>148</v>
      </c>
      <c r="J49" s="76">
        <f>TRUNC((((ROUND(J47*godz,2))*60)-(TRUNC(J48)*60+(J48-TRUNC(J48))*100))/60)+((((((ROUND(J47*godz,2))*60)-(TRUNC(J48)*60+(J48-TRUNC(J48))*100))/60)-TRUNC((((ROUND(J47*godz,2))*60)-(TRUNC(J48)*60+(J48-TRUNC(J48))*100))/60))*60/100)</f>
        <v>0</v>
      </c>
      <c r="K49" s="77"/>
      <c r="L49" s="21"/>
      <c r="M49" s="21"/>
      <c r="N49" s="30"/>
      <c r="O49" s="142"/>
      <c r="P49" s="21"/>
    </row>
    <row r="50" spans="3:16" ht="15.75" customHeight="1" thickBot="1" x14ac:dyDescent="0.3">
      <c r="C50" s="163" t="s">
        <v>38</v>
      </c>
      <c r="D50" s="164"/>
      <c r="E50" s="165">
        <f>J49</f>
        <v>0</v>
      </c>
      <c r="F50" s="164" t="s">
        <v>34</v>
      </c>
      <c r="G50" s="82"/>
      <c r="H50" s="21"/>
      <c r="I50" s="83"/>
      <c r="J50" s="83"/>
      <c r="K50" s="21"/>
      <c r="L50" s="21"/>
      <c r="M50" s="21"/>
      <c r="N50" s="30"/>
      <c r="O50" s="30"/>
      <c r="P50" s="8"/>
    </row>
    <row r="51" spans="3:16" ht="15.75" thickBot="1" x14ac:dyDescent="0.3">
      <c r="C51" s="166" t="s">
        <v>134</v>
      </c>
      <c r="D51" s="164"/>
      <c r="E51" s="165">
        <f>TRUNC(((TRUNC(J45)*60+(J45-TRUNC(J45))*100)+(TRUNC(J49)*60+(J49-TRUNC(J49))*100))/60)+((((TRUNC(J45)*60+(J45-TRUNC(J45))*100)+(TRUNC(J49)*60+(J49-TRUNC(J49))*100))/60)-TRUNC(((TRUNC(J45)*60+(J45-TRUNC(J45))*100)+(TRUNC(J49)*60+(J49-TRUNC(J49))*100))/60))*60/100</f>
        <v>168</v>
      </c>
      <c r="F51" s="164" t="s">
        <v>34</v>
      </c>
      <c r="G51" s="21"/>
      <c r="H51" s="21"/>
      <c r="I51" s="83" t="s">
        <v>39</v>
      </c>
      <c r="J51" s="84">
        <f>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+(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-(TRUNC(((((TRUNC(TRUNC((((TRUNC(E51)*60)+((E51-TRUNC(E51))*100))-E45*60)/60)+((((((TRUNC(E51)*60)+((E51-TRUNC(E51))*100))-E45*60)/60)-TRUNC(((((TRUNC(E51)*60)+((E51-TRUNC(E51))*100))-E45*60)/60)))*60/100)))*60)+(((TRUNC((((TRUNC(E51)*60)+((E51-TRUNC(E51))*100))-E45*60)/60)+((((((TRUNC(E51)*60)+((E51-TRUNC(E51))*100))-E45*60)/60)-TRUNC(((((TRUNC(E51)*60)+((E51-TRUNC(E51))*100))-E45*60)/60)))*60/100))-TRUNC((TRUNC((((TRUNC(E51)*60)+((E51-TRUNC(E51))*100))-E45*60)/60)+((((((TRUNC(E51)*60)+((E51-TRUNC(E51))*100))-E45*60)/60)-TRUNC(((((TRUNC(E51)*60)+((E51-TRUNC(E51))*100))-E45*60)/60)))*60/100))))*100)+(COUNTIF(D11:D42,"gp")*160))/60))))*60/100)</f>
        <v>0</v>
      </c>
      <c r="K51" s="83" t="s">
        <v>34</v>
      </c>
      <c r="L51" s="83"/>
      <c r="M51" s="85"/>
      <c r="N51" s="30"/>
      <c r="O51" s="143" t="s">
        <v>34</v>
      </c>
      <c r="P51" s="8"/>
    </row>
    <row r="52" spans="3:16" ht="15.75" thickBot="1" x14ac:dyDescent="0.3">
      <c r="C52" s="86"/>
      <c r="D52" s="87"/>
      <c r="E52" s="88" t="s">
        <v>40</v>
      </c>
      <c r="F52" s="89"/>
      <c r="G52" s="87"/>
      <c r="H52" s="87"/>
      <c r="I52" s="88" t="s">
        <v>40</v>
      </c>
      <c r="J52" s="88" t="s">
        <v>41</v>
      </c>
      <c r="K52" s="87"/>
      <c r="L52" s="87"/>
      <c r="M52" s="87"/>
      <c r="N52" s="90"/>
      <c r="O52" s="90"/>
      <c r="P52" s="8"/>
    </row>
    <row r="53" spans="3:16" x14ac:dyDescent="0.25">
      <c r="C53" s="91" t="s">
        <v>42</v>
      </c>
      <c r="D53" s="13"/>
      <c r="E53" s="13"/>
      <c r="F53" s="13"/>
      <c r="G53" s="13"/>
      <c r="H53" s="13"/>
      <c r="I53" s="92"/>
      <c r="J53" s="92"/>
      <c r="K53" s="92"/>
      <c r="L53" s="92"/>
      <c r="M53" s="92"/>
      <c r="N53" s="93"/>
      <c r="O53" s="147"/>
      <c r="P53" s="8"/>
    </row>
    <row r="54" spans="3:16" x14ac:dyDescent="0.25">
      <c r="C54" s="67" t="s">
        <v>43</v>
      </c>
      <c r="D54" s="21"/>
      <c r="E54" s="94">
        <f>'November 2026'!J54</f>
        <v>6.56</v>
      </c>
      <c r="F54" s="83" t="s">
        <v>34</v>
      </c>
      <c r="G54" s="21"/>
      <c r="H54" s="21"/>
      <c r="I54" s="95" t="s">
        <v>44</v>
      </c>
      <c r="J54" s="98">
        <f>TRUNC(SUM(((TRUNC(J51)*60)+((J51-TRUNC(J51))*100)),(TRUNC(E54)*60)+((E54-TRUNC(E54))*100))/60)+((SUM(((TRUNC(J51)*60)+((J51-TRUNC(J51))*100)),(TRUNC(E54)*60)+((E54-TRUNC(E54))*100))/60)-TRUNC((SUM(((TRUNC(J51)*60)+((J51-TRUNC(J51))*100)),(TRUNC(E54)*60)+((E54-TRUNC(E54))*100))/60)))*60/100</f>
        <v>6.56</v>
      </c>
      <c r="K54" s="96" t="s">
        <v>34</v>
      </c>
      <c r="L54" s="81"/>
      <c r="M54" s="81"/>
      <c r="N54" s="30"/>
      <c r="O54" s="145" t="s">
        <v>34</v>
      </c>
      <c r="P54" s="8"/>
    </row>
    <row r="55" spans="3:16" ht="15.75" thickBot="1" x14ac:dyDescent="0.3">
      <c r="C55" s="86"/>
      <c r="D55" s="87"/>
      <c r="E55" s="87"/>
      <c r="F55" s="87"/>
      <c r="G55" s="87"/>
      <c r="H55" s="87"/>
      <c r="I55" s="97"/>
      <c r="J55" s="97"/>
      <c r="K55" s="97"/>
      <c r="L55" s="97"/>
      <c r="M55" s="97"/>
      <c r="N55" s="90"/>
      <c r="O55" s="146"/>
      <c r="P55" s="8"/>
    </row>
    <row r="56" spans="3:16" x14ac:dyDescent="0.25">
      <c r="C56" s="10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</row>
    <row r="57" spans="3:16" x14ac:dyDescent="0.25">
      <c r="C57" s="6">
        <f>SUM(K11:K41)</f>
        <v>21</v>
      </c>
    </row>
    <row r="58" spans="3:16" x14ac:dyDescent="0.25">
      <c r="E58" s="161"/>
    </row>
    <row r="60" spans="3:16" x14ac:dyDescent="0.25">
      <c r="H60" s="158"/>
    </row>
    <row r="64" spans="3:16" x14ac:dyDescent="0.25">
      <c r="H64" s="158"/>
    </row>
  </sheetData>
  <sheetProtection selectLockedCells="1"/>
  <mergeCells count="3">
    <mergeCell ref="E2:F2"/>
    <mergeCell ref="E3:F3"/>
    <mergeCell ref="E4:F4"/>
  </mergeCells>
  <pageMargins left="0.7" right="0.7" top="0.75" bottom="0.75" header="0.3" footer="0.3"/>
  <pageSetup paperSize="9" orientation="portrait" horizontalDpi="4294967295" verticalDpi="4294967295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Dane!$A$1:$A$12</xm:f>
          </x14:formula1>
          <xm:sqref>D11:D42</xm:sqref>
        </x14:dataValidation>
        <x14:dataValidation type="list" allowBlank="1" showInputMessage="1" showErrorMessage="1">
          <x14:formula1>
            <xm:f>Dane!$G$2:$G$16</xm:f>
          </x14:formula1>
          <xm:sqref>P11:P42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4"/>
  <dimension ref="A1:T61"/>
  <sheetViews>
    <sheetView zoomScale="85" zoomScaleNormal="85" workbookViewId="0">
      <selection activeCell="C7" sqref="C7"/>
    </sheetView>
  </sheetViews>
  <sheetFormatPr defaultColWidth="9.140625" defaultRowHeight="15" x14ac:dyDescent="0.25"/>
  <cols>
    <col min="1" max="1" width="20" customWidth="1"/>
    <col min="2" max="2" width="13.85546875" customWidth="1"/>
    <col min="3" max="3" width="16.28515625" customWidth="1"/>
    <col min="4" max="4" width="18.42578125" customWidth="1"/>
    <col min="5" max="5" width="17" customWidth="1"/>
    <col min="6" max="6" width="16.5703125" customWidth="1"/>
    <col min="7" max="7" width="13.5703125" customWidth="1"/>
    <col min="8" max="8" width="11.42578125" customWidth="1"/>
    <col min="9" max="9" width="18.5703125" customWidth="1"/>
    <col min="10" max="10" width="16.28515625" customWidth="1"/>
    <col min="11" max="11" width="13.28515625" customWidth="1"/>
    <col min="12" max="12" width="18.42578125" customWidth="1"/>
    <col min="13" max="13" width="16" customWidth="1"/>
    <col min="14" max="14" width="21.7109375" customWidth="1"/>
    <col min="15" max="15" width="23.140625" customWidth="1"/>
    <col min="16" max="16" width="17.85546875" customWidth="1"/>
    <col min="17" max="17" width="16.5703125" customWidth="1"/>
    <col min="18" max="18" width="19.85546875" customWidth="1"/>
    <col min="19" max="19" width="15" bestFit="1" customWidth="1"/>
  </cols>
  <sheetData>
    <row r="1" spans="1:20" ht="75" x14ac:dyDescent="0.25">
      <c r="A1" s="124" t="s">
        <v>75</v>
      </c>
      <c r="B1" s="124" t="s">
        <v>76</v>
      </c>
      <c r="C1" s="124" t="s">
        <v>63</v>
      </c>
      <c r="D1" s="124" t="s">
        <v>64</v>
      </c>
      <c r="E1" s="124" t="s">
        <v>65</v>
      </c>
      <c r="F1" s="124" t="s">
        <v>99</v>
      </c>
      <c r="G1" s="124" t="s">
        <v>66</v>
      </c>
      <c r="H1" s="124" t="s">
        <v>67</v>
      </c>
      <c r="I1" s="124" t="s">
        <v>68</v>
      </c>
      <c r="J1" s="124" t="s">
        <v>119</v>
      </c>
      <c r="K1" s="124" t="s">
        <v>69</v>
      </c>
      <c r="L1" s="124" t="s">
        <v>77</v>
      </c>
      <c r="M1" s="124" t="s">
        <v>70</v>
      </c>
      <c r="N1" s="124" t="s">
        <v>71</v>
      </c>
      <c r="O1" s="124" t="s">
        <v>72</v>
      </c>
      <c r="P1" s="124" t="s">
        <v>73</v>
      </c>
      <c r="Q1" s="124" t="s">
        <v>74</v>
      </c>
      <c r="R1" s="124" t="s">
        <v>78</v>
      </c>
      <c r="S1" s="124" t="s">
        <v>98</v>
      </c>
    </row>
    <row r="2" spans="1:20" x14ac:dyDescent="0.25">
      <c r="A2" s="127">
        <v>2026</v>
      </c>
      <c r="B2" s="128">
        <v>46023</v>
      </c>
      <c r="C2" s="128">
        <v>46029</v>
      </c>
      <c r="D2" s="127">
        <v>366</v>
      </c>
      <c r="E2" s="127">
        <v>112</v>
      </c>
      <c r="F2" s="127">
        <v>2</v>
      </c>
      <c r="G2" s="127">
        <v>0</v>
      </c>
      <c r="H2" s="127">
        <v>0</v>
      </c>
      <c r="I2" s="127">
        <v>0</v>
      </c>
      <c r="J2" s="127">
        <v>0</v>
      </c>
      <c r="K2" s="127">
        <v>0</v>
      </c>
      <c r="L2" s="127">
        <v>0</v>
      </c>
      <c r="M2" s="127">
        <v>0</v>
      </c>
      <c r="N2" s="127">
        <v>0</v>
      </c>
      <c r="O2" s="127">
        <v>0</v>
      </c>
      <c r="P2" s="127">
        <v>2016</v>
      </c>
      <c r="Q2" s="127">
        <v>252</v>
      </c>
      <c r="R2" s="127">
        <v>2016</v>
      </c>
      <c r="S2" s="127">
        <v>0</v>
      </c>
    </row>
    <row r="3" spans="1:20" ht="15.75" thickBot="1" x14ac:dyDescent="0.3">
      <c r="H3" s="126"/>
    </row>
    <row r="4" spans="1:20" ht="45" x14ac:dyDescent="0.25">
      <c r="A4" s="154" t="s">
        <v>159</v>
      </c>
      <c r="B4" s="154" t="s">
        <v>131</v>
      </c>
    </row>
    <row r="5" spans="1:20" x14ac:dyDescent="0.25">
      <c r="A5" s="127">
        <v>26</v>
      </c>
      <c r="B5" s="127">
        <v>51</v>
      </c>
    </row>
    <row r="6" spans="1:20" x14ac:dyDescent="0.25">
      <c r="O6" s="135"/>
      <c r="P6" t="s">
        <v>96</v>
      </c>
    </row>
    <row r="7" spans="1:20" ht="48.75" x14ac:dyDescent="0.25">
      <c r="A7" s="174" t="s">
        <v>155</v>
      </c>
      <c r="O7" s="131"/>
      <c r="P7" s="10" t="s">
        <v>3</v>
      </c>
      <c r="Q7" s="8"/>
      <c r="R7" s="132"/>
      <c r="S7" s="133"/>
      <c r="T7" s="8"/>
    </row>
    <row r="8" spans="1:20" x14ac:dyDescent="0.25">
      <c r="A8" s="160">
        <v>2</v>
      </c>
      <c r="O8" s="9" t="s">
        <v>7</v>
      </c>
      <c r="P8" s="10" t="s">
        <v>8</v>
      </c>
      <c r="Q8" s="8"/>
      <c r="R8" s="132"/>
      <c r="S8" s="134"/>
      <c r="T8" s="8"/>
    </row>
    <row r="9" spans="1:20" x14ac:dyDescent="0.25">
      <c r="O9" s="9" t="s">
        <v>62</v>
      </c>
      <c r="P9" s="10" t="s">
        <v>9</v>
      </c>
      <c r="Q9" s="8"/>
      <c r="R9" s="132"/>
      <c r="S9" s="134"/>
      <c r="T9" s="8"/>
    </row>
    <row r="10" spans="1:20" x14ac:dyDescent="0.25">
      <c r="O10" s="9" t="s">
        <v>10</v>
      </c>
      <c r="P10" s="10" t="s">
        <v>97</v>
      </c>
      <c r="Q10" s="8"/>
      <c r="R10" s="132"/>
      <c r="S10" s="134"/>
    </row>
    <row r="11" spans="1:20" x14ac:dyDescent="0.25">
      <c r="O11" s="9" t="s">
        <v>14</v>
      </c>
      <c r="P11" s="10" t="s">
        <v>15</v>
      </c>
      <c r="Q11" s="8"/>
      <c r="R11" s="132"/>
      <c r="S11" s="132"/>
    </row>
    <row r="12" spans="1:20" x14ac:dyDescent="0.25">
      <c r="O12" s="9" t="s">
        <v>19</v>
      </c>
      <c r="P12" s="10" t="s">
        <v>20</v>
      </c>
      <c r="Q12" s="8"/>
      <c r="R12" s="132"/>
      <c r="S12" s="132"/>
    </row>
    <row r="13" spans="1:20" x14ac:dyDescent="0.25">
      <c r="O13" s="9" t="s">
        <v>55</v>
      </c>
      <c r="P13" s="10" t="s">
        <v>56</v>
      </c>
      <c r="Q13" s="8"/>
      <c r="R13" s="132"/>
      <c r="S13" s="132"/>
    </row>
    <row r="14" spans="1:20" x14ac:dyDescent="0.25">
      <c r="A14" s="129" t="s">
        <v>79</v>
      </c>
      <c r="B14" s="130" t="s">
        <v>80</v>
      </c>
      <c r="C14" s="130" t="s">
        <v>81</v>
      </c>
      <c r="D14" s="130" t="s">
        <v>82</v>
      </c>
      <c r="E14" s="130" t="s">
        <v>83</v>
      </c>
      <c r="F14" s="130" t="s">
        <v>84</v>
      </c>
      <c r="G14" s="130" t="s">
        <v>85</v>
      </c>
      <c r="H14" s="130" t="s">
        <v>86</v>
      </c>
      <c r="I14" s="130" t="s">
        <v>87</v>
      </c>
      <c r="J14" s="130" t="s">
        <v>88</v>
      </c>
      <c r="K14" s="130" t="s">
        <v>89</v>
      </c>
      <c r="L14" s="130" t="s">
        <v>90</v>
      </c>
      <c r="M14" s="130" t="s">
        <v>91</v>
      </c>
      <c r="O14" s="122" t="s">
        <v>57</v>
      </c>
      <c r="P14" s="8" t="s">
        <v>58</v>
      </c>
      <c r="R14" s="132"/>
      <c r="S14" s="132"/>
    </row>
    <row r="15" spans="1:20" x14ac:dyDescent="0.25">
      <c r="A15" s="129">
        <v>1</v>
      </c>
      <c r="B15" s="131"/>
      <c r="C15" s="131"/>
      <c r="D15" s="131"/>
      <c r="E15" s="135"/>
      <c r="F15" s="131"/>
      <c r="G15" s="135"/>
      <c r="H15" s="135"/>
      <c r="I15" s="131"/>
      <c r="J15" s="135"/>
      <c r="K15" s="135"/>
      <c r="L15" s="131"/>
      <c r="M15" s="135"/>
      <c r="O15" s="122" t="s">
        <v>59</v>
      </c>
      <c r="P15" s="8" t="s">
        <v>60</v>
      </c>
    </row>
    <row r="16" spans="1:20" x14ac:dyDescent="0.25">
      <c r="A16" s="129">
        <v>2</v>
      </c>
      <c r="B16" s="135" t="s">
        <v>7</v>
      </c>
      <c r="C16" s="135"/>
      <c r="D16" s="135"/>
      <c r="E16" s="135"/>
      <c r="F16" s="131"/>
      <c r="G16" s="135"/>
      <c r="H16" s="135"/>
      <c r="I16" s="131"/>
      <c r="J16" s="135"/>
      <c r="K16" s="135"/>
      <c r="L16" s="135"/>
      <c r="M16" s="135"/>
      <c r="O16" s="9" t="s">
        <v>93</v>
      </c>
      <c r="P16" s="10" t="s">
        <v>94</v>
      </c>
    </row>
    <row r="17" spans="1:16" x14ac:dyDescent="0.25">
      <c r="A17" s="129">
        <v>3</v>
      </c>
      <c r="B17" s="131"/>
      <c r="C17" s="135"/>
      <c r="D17" s="135"/>
      <c r="E17" s="135"/>
      <c r="F17" s="131"/>
      <c r="G17" s="135"/>
      <c r="H17" s="135"/>
      <c r="I17" s="135"/>
      <c r="J17" s="135"/>
      <c r="K17" s="131"/>
      <c r="L17" s="135"/>
      <c r="M17" s="135"/>
      <c r="O17" s="9" t="s">
        <v>92</v>
      </c>
      <c r="P17" s="10" t="s">
        <v>95</v>
      </c>
    </row>
    <row r="18" spans="1:16" x14ac:dyDescent="0.25">
      <c r="A18" s="129">
        <v>4</v>
      </c>
      <c r="B18" s="131"/>
      <c r="C18" s="135"/>
      <c r="D18" s="135"/>
      <c r="E18" s="131"/>
      <c r="F18" s="135"/>
      <c r="G18" s="131"/>
      <c r="H18" s="131"/>
      <c r="I18" s="135"/>
      <c r="J18" s="135"/>
      <c r="K18" s="131"/>
      <c r="L18" s="135"/>
      <c r="M18" s="135"/>
      <c r="O18" s="9" t="s">
        <v>142</v>
      </c>
      <c r="P18" t="s">
        <v>144</v>
      </c>
    </row>
    <row r="19" spans="1:16" x14ac:dyDescent="0.25">
      <c r="A19" s="129">
        <v>5</v>
      </c>
      <c r="B19" s="135" t="s">
        <v>7</v>
      </c>
      <c r="C19" s="135"/>
      <c r="D19" s="135"/>
      <c r="E19" s="131"/>
      <c r="F19" s="135"/>
      <c r="G19" s="135"/>
      <c r="H19" s="131"/>
      <c r="I19" s="135"/>
      <c r="J19" s="131"/>
      <c r="K19" s="135"/>
      <c r="L19" s="135"/>
      <c r="M19" s="131"/>
    </row>
    <row r="20" spans="1:16" x14ac:dyDescent="0.25">
      <c r="A20" s="129">
        <v>6</v>
      </c>
      <c r="B20" s="131"/>
      <c r="C20" s="135"/>
      <c r="D20" s="135"/>
      <c r="E20" s="131"/>
      <c r="F20" s="135"/>
      <c r="G20" s="131"/>
      <c r="H20" s="135"/>
      <c r="I20" s="135"/>
      <c r="J20" s="131"/>
      <c r="K20" s="135"/>
      <c r="L20" s="135"/>
      <c r="M20" s="131"/>
    </row>
    <row r="21" spans="1:16" x14ac:dyDescent="0.25">
      <c r="A21" s="129">
        <v>7</v>
      </c>
      <c r="B21" s="135"/>
      <c r="C21" s="131"/>
      <c r="D21" s="131"/>
      <c r="E21" s="135"/>
      <c r="F21" s="135"/>
      <c r="G21" s="131"/>
      <c r="H21" s="135"/>
      <c r="I21" s="135"/>
      <c r="J21" s="135"/>
      <c r="K21" s="135"/>
      <c r="L21" s="131"/>
      <c r="M21" s="135"/>
    </row>
    <row r="22" spans="1:16" x14ac:dyDescent="0.25">
      <c r="A22" s="129">
        <v>8</v>
      </c>
      <c r="B22" s="135"/>
      <c r="C22" s="131"/>
      <c r="D22" s="131"/>
      <c r="E22" s="135"/>
      <c r="F22" s="135"/>
      <c r="G22" s="135"/>
      <c r="H22" s="135"/>
      <c r="I22" s="131"/>
      <c r="J22" s="135"/>
      <c r="K22" s="135"/>
      <c r="L22" s="131"/>
      <c r="M22" s="135"/>
    </row>
    <row r="23" spans="1:16" x14ac:dyDescent="0.25">
      <c r="A23" s="129">
        <v>9</v>
      </c>
      <c r="B23" s="135"/>
      <c r="C23" s="135"/>
      <c r="D23" s="135"/>
      <c r="E23" s="135"/>
      <c r="F23" s="131"/>
      <c r="G23" s="135"/>
      <c r="H23" s="135"/>
      <c r="I23" s="131"/>
      <c r="J23" s="135"/>
      <c r="K23" s="135"/>
      <c r="L23" s="135"/>
      <c r="M23" s="135"/>
    </row>
    <row r="24" spans="1:16" x14ac:dyDescent="0.25">
      <c r="A24" s="129">
        <v>10</v>
      </c>
      <c r="B24" s="131"/>
      <c r="C24" s="135"/>
      <c r="D24" s="135"/>
      <c r="E24" s="135"/>
      <c r="F24" s="131"/>
      <c r="G24" s="135"/>
      <c r="H24" s="135"/>
      <c r="I24" s="135"/>
      <c r="J24" s="135"/>
      <c r="K24" s="131"/>
      <c r="L24" s="135"/>
      <c r="M24" s="135"/>
    </row>
    <row r="25" spans="1:16" x14ac:dyDescent="0.25">
      <c r="A25" s="129">
        <v>11</v>
      </c>
      <c r="B25" s="131"/>
      <c r="C25" s="135"/>
      <c r="D25" s="135"/>
      <c r="E25" s="131"/>
      <c r="F25" s="135"/>
      <c r="G25" s="135"/>
      <c r="H25" s="131"/>
      <c r="I25" s="135"/>
      <c r="J25" s="135"/>
      <c r="K25" s="131"/>
      <c r="L25" s="131"/>
      <c r="M25" s="135"/>
    </row>
    <row r="26" spans="1:16" x14ac:dyDescent="0.25">
      <c r="A26" s="129">
        <v>12</v>
      </c>
      <c r="B26" s="135"/>
      <c r="C26" s="135"/>
      <c r="D26" s="135"/>
      <c r="E26" s="131"/>
      <c r="F26" s="135"/>
      <c r="G26" s="135"/>
      <c r="H26" s="131"/>
      <c r="I26" s="135"/>
      <c r="J26" s="131"/>
      <c r="K26" s="135"/>
      <c r="L26" s="135"/>
      <c r="M26" s="131"/>
    </row>
    <row r="27" spans="1:16" x14ac:dyDescent="0.25">
      <c r="A27" s="129">
        <v>13</v>
      </c>
      <c r="B27" s="135"/>
      <c r="C27" s="135"/>
      <c r="D27" s="135"/>
      <c r="E27" s="135"/>
      <c r="F27" s="135"/>
      <c r="G27" s="131"/>
      <c r="H27" s="135"/>
      <c r="I27" s="135"/>
      <c r="J27" s="131"/>
      <c r="K27" s="135"/>
      <c r="L27" s="135"/>
      <c r="M27" s="131"/>
    </row>
    <row r="28" spans="1:16" x14ac:dyDescent="0.25">
      <c r="A28" s="129">
        <v>14</v>
      </c>
      <c r="B28" s="135"/>
      <c r="C28" s="131"/>
      <c r="D28" s="131"/>
      <c r="E28" s="135"/>
      <c r="F28" s="135"/>
      <c r="G28" s="131"/>
      <c r="H28" s="135"/>
      <c r="I28" s="135"/>
      <c r="J28" s="135"/>
      <c r="K28" s="135"/>
      <c r="L28" s="131"/>
      <c r="M28" s="135"/>
    </row>
    <row r="29" spans="1:16" x14ac:dyDescent="0.25">
      <c r="A29" s="129">
        <v>15</v>
      </c>
      <c r="B29" s="135"/>
      <c r="C29" s="131"/>
      <c r="D29" s="131"/>
      <c r="E29" s="135"/>
      <c r="F29" s="135"/>
      <c r="G29" s="135"/>
      <c r="H29" s="135"/>
      <c r="I29" s="131"/>
      <c r="J29" s="135"/>
      <c r="K29" s="135"/>
      <c r="L29" s="131"/>
      <c r="M29" s="135"/>
    </row>
    <row r="30" spans="1:16" x14ac:dyDescent="0.25">
      <c r="A30" s="129">
        <v>16</v>
      </c>
      <c r="B30" s="135"/>
      <c r="C30" s="135"/>
      <c r="D30" s="135"/>
      <c r="E30" s="135"/>
      <c r="F30" s="131"/>
      <c r="G30" s="135"/>
      <c r="H30" s="135"/>
      <c r="I30" s="131"/>
      <c r="J30" s="135"/>
      <c r="K30" s="135"/>
      <c r="L30" s="135"/>
      <c r="M30" s="135"/>
    </row>
    <row r="31" spans="1:16" x14ac:dyDescent="0.25">
      <c r="A31" s="129">
        <v>17</v>
      </c>
      <c r="B31" s="131"/>
      <c r="C31" s="135"/>
      <c r="D31" s="135"/>
      <c r="E31" s="135"/>
      <c r="F31" s="131"/>
      <c r="G31" s="135"/>
      <c r="H31" s="135"/>
      <c r="I31" s="135"/>
      <c r="J31" s="135"/>
      <c r="K31" s="131"/>
      <c r="L31" s="135"/>
      <c r="M31" s="135"/>
    </row>
    <row r="32" spans="1:16" x14ac:dyDescent="0.25">
      <c r="A32" s="129">
        <v>18</v>
      </c>
      <c r="B32" s="131"/>
      <c r="C32" s="135"/>
      <c r="D32" s="135"/>
      <c r="E32" s="131"/>
      <c r="F32" s="135"/>
      <c r="G32" s="135"/>
      <c r="H32" s="131"/>
      <c r="I32" s="135"/>
      <c r="J32" s="135"/>
      <c r="K32" s="131"/>
      <c r="L32" s="135"/>
      <c r="M32" s="135"/>
    </row>
    <row r="33" spans="1:13" x14ac:dyDescent="0.25">
      <c r="A33" s="129">
        <v>19</v>
      </c>
      <c r="B33" s="135"/>
      <c r="C33" s="135"/>
      <c r="D33" s="135"/>
      <c r="E33" s="131"/>
      <c r="F33" s="135"/>
      <c r="G33" s="135"/>
      <c r="H33" s="131"/>
      <c r="I33" s="135"/>
      <c r="J33" s="131"/>
      <c r="K33" s="135"/>
      <c r="L33" s="135"/>
      <c r="M33" s="131"/>
    </row>
    <row r="34" spans="1:13" x14ac:dyDescent="0.25">
      <c r="A34" s="129">
        <v>20</v>
      </c>
      <c r="B34" s="135"/>
      <c r="C34" s="135"/>
      <c r="D34" s="135"/>
      <c r="E34" s="135"/>
      <c r="F34" s="135"/>
      <c r="G34" s="131"/>
      <c r="H34" s="135"/>
      <c r="I34" s="135"/>
      <c r="J34" s="131"/>
      <c r="K34" s="135"/>
      <c r="L34" s="135"/>
      <c r="M34" s="131"/>
    </row>
    <row r="35" spans="1:13" x14ac:dyDescent="0.25">
      <c r="A35" s="129">
        <v>21</v>
      </c>
      <c r="B35" s="135"/>
      <c r="C35" s="131"/>
      <c r="D35" s="131"/>
      <c r="E35" s="135"/>
      <c r="F35" s="135"/>
      <c r="G35" s="131"/>
      <c r="H35" s="135"/>
      <c r="I35" s="135"/>
      <c r="J35" s="135"/>
      <c r="K35" s="135"/>
      <c r="L35" s="131"/>
      <c r="M35" s="135"/>
    </row>
    <row r="36" spans="1:13" x14ac:dyDescent="0.25">
      <c r="A36" s="129">
        <v>22</v>
      </c>
      <c r="B36" s="135"/>
      <c r="C36" s="131"/>
      <c r="D36" s="131"/>
      <c r="E36" s="135"/>
      <c r="F36" s="135"/>
      <c r="G36" s="135"/>
      <c r="H36" s="135"/>
      <c r="I36" s="131"/>
      <c r="J36" s="135"/>
      <c r="K36" s="135"/>
      <c r="L36" s="131"/>
      <c r="M36" s="135"/>
    </row>
    <row r="37" spans="1:13" x14ac:dyDescent="0.25">
      <c r="A37" s="129">
        <v>23</v>
      </c>
      <c r="B37" s="135"/>
      <c r="C37" s="135"/>
      <c r="D37" s="135"/>
      <c r="E37" s="135"/>
      <c r="F37" s="131"/>
      <c r="G37" s="135"/>
      <c r="H37" s="135"/>
      <c r="I37" s="131"/>
      <c r="J37" s="135"/>
      <c r="K37" s="135"/>
      <c r="L37" s="135"/>
      <c r="M37" s="135"/>
    </row>
    <row r="38" spans="1:13" x14ac:dyDescent="0.25">
      <c r="A38" s="129">
        <v>24</v>
      </c>
      <c r="B38" s="131"/>
      <c r="C38" s="135"/>
      <c r="D38" s="135"/>
      <c r="E38" s="135"/>
      <c r="F38" s="131"/>
      <c r="G38" s="135"/>
      <c r="H38" s="135"/>
      <c r="I38" s="135"/>
      <c r="J38" s="135"/>
      <c r="K38" s="131"/>
      <c r="L38" s="135"/>
      <c r="M38" s="131"/>
    </row>
    <row r="39" spans="1:13" x14ac:dyDescent="0.25">
      <c r="A39" s="129">
        <v>25</v>
      </c>
      <c r="B39" s="131"/>
      <c r="C39" s="135"/>
      <c r="D39" s="135"/>
      <c r="E39" s="131"/>
      <c r="F39" s="135"/>
      <c r="G39" s="135"/>
      <c r="H39" s="131"/>
      <c r="I39" s="135"/>
      <c r="J39" s="135"/>
      <c r="K39" s="131"/>
      <c r="L39" s="135"/>
      <c r="M39" s="131"/>
    </row>
    <row r="40" spans="1:13" x14ac:dyDescent="0.25">
      <c r="A40" s="129">
        <v>26</v>
      </c>
      <c r="B40" s="135"/>
      <c r="C40" s="135"/>
      <c r="D40" s="135"/>
      <c r="E40" s="131"/>
      <c r="F40" s="135"/>
      <c r="G40" s="135"/>
      <c r="H40" s="131"/>
      <c r="I40" s="135"/>
      <c r="J40" s="131"/>
      <c r="K40" s="135"/>
      <c r="L40" s="135"/>
      <c r="M40" s="131"/>
    </row>
    <row r="41" spans="1:13" x14ac:dyDescent="0.25">
      <c r="A41" s="129">
        <v>27</v>
      </c>
      <c r="B41" s="135"/>
      <c r="C41" s="135"/>
      <c r="D41" s="135"/>
      <c r="E41" s="135"/>
      <c r="F41" s="135"/>
      <c r="G41" s="131"/>
      <c r="H41" s="135"/>
      <c r="I41" s="135"/>
      <c r="J41" s="131"/>
      <c r="K41" s="135"/>
      <c r="L41" s="135"/>
      <c r="M41" s="131"/>
    </row>
    <row r="42" spans="1:13" x14ac:dyDescent="0.25">
      <c r="A42" s="129">
        <v>28</v>
      </c>
      <c r="B42" s="135"/>
      <c r="C42" s="131"/>
      <c r="D42" s="131"/>
      <c r="E42" s="135"/>
      <c r="F42" s="135"/>
      <c r="G42" s="131"/>
      <c r="H42" s="135"/>
      <c r="I42" s="135"/>
      <c r="J42" s="135"/>
      <c r="K42" s="135"/>
      <c r="L42" s="131"/>
      <c r="M42" s="135"/>
    </row>
    <row r="43" spans="1:13" x14ac:dyDescent="0.25">
      <c r="A43" s="129">
        <v>29</v>
      </c>
      <c r="B43" s="135"/>
      <c r="C43" s="135"/>
      <c r="D43" s="131"/>
      <c r="E43" s="135"/>
      <c r="F43" s="135"/>
      <c r="G43" s="135"/>
      <c r="H43" s="135"/>
      <c r="I43" s="131"/>
      <c r="J43" s="135"/>
      <c r="K43" s="135"/>
      <c r="L43" s="131"/>
      <c r="M43" s="135"/>
    </row>
    <row r="44" spans="1:13" x14ac:dyDescent="0.25">
      <c r="A44" s="129">
        <v>30</v>
      </c>
      <c r="B44" s="135"/>
      <c r="D44" s="135"/>
      <c r="E44" s="135"/>
      <c r="F44" s="131"/>
      <c r="G44" s="135"/>
      <c r="H44" s="135"/>
      <c r="I44" s="131"/>
      <c r="J44" s="135"/>
      <c r="K44" s="135"/>
      <c r="L44" s="135"/>
      <c r="M44" s="135"/>
    </row>
    <row r="45" spans="1:13" x14ac:dyDescent="0.25">
      <c r="A45" s="129">
        <v>31</v>
      </c>
      <c r="B45" s="131"/>
      <c r="D45" s="135"/>
      <c r="E45" s="155"/>
      <c r="F45" s="131"/>
      <c r="H45" s="135"/>
      <c r="I45" s="135"/>
      <c r="K45" s="131"/>
      <c r="M45" s="135"/>
    </row>
    <row r="47" spans="1:13" ht="45" x14ac:dyDescent="0.25">
      <c r="A47" s="151" t="s">
        <v>105</v>
      </c>
      <c r="B47" s="152" t="s">
        <v>122</v>
      </c>
      <c r="C47" s="152" t="s">
        <v>121</v>
      </c>
      <c r="D47" s="152" t="s">
        <v>120</v>
      </c>
    </row>
    <row r="48" spans="1:13" x14ac:dyDescent="0.25">
      <c r="A48" s="150" t="s">
        <v>103</v>
      </c>
      <c r="B48" s="150">
        <v>365</v>
      </c>
      <c r="C48" s="150">
        <v>252</v>
      </c>
      <c r="D48" s="150">
        <v>2016</v>
      </c>
    </row>
    <row r="49" spans="1:4" x14ac:dyDescent="0.25">
      <c r="A49" s="150" t="s">
        <v>104</v>
      </c>
      <c r="B49" s="150"/>
      <c r="C49" s="150"/>
      <c r="D49" s="150">
        <v>0</v>
      </c>
    </row>
    <row r="50" spans="1:4" x14ac:dyDescent="0.25">
      <c r="A50" s="150" t="s">
        <v>106</v>
      </c>
      <c r="B50" s="150"/>
      <c r="C50" s="150"/>
      <c r="D50" s="150">
        <v>0</v>
      </c>
    </row>
    <row r="51" spans="1:4" x14ac:dyDescent="0.25">
      <c r="A51" s="150" t="s">
        <v>107</v>
      </c>
      <c r="B51" s="150"/>
      <c r="C51" s="150"/>
      <c r="D51" s="150">
        <v>0</v>
      </c>
    </row>
    <row r="52" spans="1:4" x14ac:dyDescent="0.25">
      <c r="A52" s="150" t="s">
        <v>108</v>
      </c>
      <c r="B52" s="150"/>
      <c r="C52" s="150"/>
      <c r="D52" s="150">
        <v>0</v>
      </c>
    </row>
    <row r="53" spans="1:4" x14ac:dyDescent="0.25">
      <c r="A53" s="150" t="s">
        <v>109</v>
      </c>
      <c r="B53" s="150"/>
      <c r="C53" s="150"/>
      <c r="D53" s="150">
        <v>0</v>
      </c>
    </row>
    <row r="54" spans="1:4" x14ac:dyDescent="0.25">
      <c r="A54" s="150" t="s">
        <v>110</v>
      </c>
      <c r="B54" s="150"/>
      <c r="C54" s="150"/>
      <c r="D54" s="150">
        <v>0</v>
      </c>
    </row>
    <row r="55" spans="1:4" x14ac:dyDescent="0.25">
      <c r="A55" s="150" t="s">
        <v>123</v>
      </c>
      <c r="B55" s="150"/>
      <c r="C55" s="150"/>
      <c r="D55" s="150">
        <v>0</v>
      </c>
    </row>
    <row r="56" spans="1:4" x14ac:dyDescent="0.25">
      <c r="A56" s="150" t="s">
        <v>124</v>
      </c>
      <c r="B56" s="150"/>
      <c r="C56" s="150"/>
      <c r="D56" s="150">
        <v>0</v>
      </c>
    </row>
    <row r="57" spans="1:4" x14ac:dyDescent="0.25">
      <c r="A57" s="150" t="s">
        <v>125</v>
      </c>
      <c r="B57" s="150"/>
      <c r="C57" s="150"/>
      <c r="D57" s="150">
        <v>0</v>
      </c>
    </row>
    <row r="58" spans="1:4" x14ac:dyDescent="0.25">
      <c r="A58" s="150" t="s">
        <v>110</v>
      </c>
      <c r="B58" s="150"/>
      <c r="C58" s="150"/>
      <c r="D58" s="150">
        <v>0</v>
      </c>
    </row>
    <row r="59" spans="1:4" x14ac:dyDescent="0.25">
      <c r="A59" s="150" t="s">
        <v>126</v>
      </c>
      <c r="B59" s="150"/>
      <c r="C59" s="150"/>
      <c r="D59" s="150">
        <v>0</v>
      </c>
    </row>
    <row r="60" spans="1:4" x14ac:dyDescent="0.25">
      <c r="A60" s="150" t="s">
        <v>141</v>
      </c>
      <c r="B60" s="150"/>
      <c r="C60" s="150"/>
      <c r="D60" s="150">
        <v>0</v>
      </c>
    </row>
    <row r="61" spans="1:4" x14ac:dyDescent="0.25">
      <c r="A61" t="s">
        <v>150</v>
      </c>
      <c r="D61">
        <v>0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data">
                <anchor moveWithCells="1" sizeWithCells="1">
                  <from>
                    <xdr:col>4</xdr:col>
                    <xdr:colOff>581025</xdr:colOff>
                    <xdr:row>5</xdr:row>
                    <xdr:rowOff>133350</xdr:rowOff>
                  </from>
                  <to>
                    <xdr:col>6</xdr:col>
                    <xdr:colOff>57150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utworz_ewidencje">
                <anchor moveWithCells="1" sizeWithCells="1">
                  <from>
                    <xdr:col>6</xdr:col>
                    <xdr:colOff>295275</xdr:colOff>
                    <xdr:row>5</xdr:row>
                    <xdr:rowOff>123825</xdr:rowOff>
                  </from>
                  <to>
                    <xdr:col>8</xdr:col>
                    <xdr:colOff>457200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14</vt:i4>
      </vt:variant>
      <vt:variant>
        <vt:lpstr>Zakresy nazwane</vt:lpstr>
      </vt:variant>
      <vt:variant>
        <vt:i4>86</vt:i4>
      </vt:variant>
    </vt:vector>
  </HeadingPairs>
  <TitlesOfParts>
    <vt:vector size="100" baseType="lpstr">
      <vt:lpstr>Dane</vt:lpstr>
      <vt:lpstr>Januar 2026</vt:lpstr>
      <vt:lpstr>Februar 2026</vt:lpstr>
      <vt:lpstr>März 2026</vt:lpstr>
      <vt:lpstr>April 2026</vt:lpstr>
      <vt:lpstr>Mai 2026</vt:lpstr>
      <vt:lpstr>Juni 2026</vt:lpstr>
      <vt:lpstr>Juli 2026</vt:lpstr>
      <vt:lpstr>August 2026</vt:lpstr>
      <vt:lpstr>September 2026</vt:lpstr>
      <vt:lpstr>Oktober 2026</vt:lpstr>
      <vt:lpstr>November 2026</vt:lpstr>
      <vt:lpstr>Dezember 2026</vt:lpstr>
      <vt:lpstr>Statystyki</vt:lpstr>
      <vt:lpstr>'April 2026'!godz</vt:lpstr>
      <vt:lpstr>'August 2026'!godz</vt:lpstr>
      <vt:lpstr>'Dezember 2026'!godz</vt:lpstr>
      <vt:lpstr>'Februar 2026'!godz</vt:lpstr>
      <vt:lpstr>'Januar 2026'!godz</vt:lpstr>
      <vt:lpstr>'Juni 2026'!godz</vt:lpstr>
      <vt:lpstr>'Mai 2026'!godz</vt:lpstr>
      <vt:lpstr>'März 2026'!godz</vt:lpstr>
      <vt:lpstr>'November 2026'!godz</vt:lpstr>
      <vt:lpstr>'Oktober 2026'!godz</vt:lpstr>
      <vt:lpstr>'September 2026'!godz</vt:lpstr>
      <vt:lpstr>godz</vt:lpstr>
      <vt:lpstr>'April 2026'!godztyg</vt:lpstr>
      <vt:lpstr>'August 2026'!godztyg</vt:lpstr>
      <vt:lpstr>'Dezember 2026'!godztyg</vt:lpstr>
      <vt:lpstr>'Februar 2026'!godztyg</vt:lpstr>
      <vt:lpstr>'Januar 2026'!godztyg</vt:lpstr>
      <vt:lpstr>'Juni 2026'!godztyg</vt:lpstr>
      <vt:lpstr>'Mai 2026'!godztyg</vt:lpstr>
      <vt:lpstr>'März 2026'!godztyg</vt:lpstr>
      <vt:lpstr>'November 2026'!godztyg</vt:lpstr>
      <vt:lpstr>'Oktober 2026'!godztyg</vt:lpstr>
      <vt:lpstr>'September 2026'!godztyg</vt:lpstr>
      <vt:lpstr>godztyg</vt:lpstr>
      <vt:lpstr>'April 2026'!pause</vt:lpstr>
      <vt:lpstr>'August 2026'!pause</vt:lpstr>
      <vt:lpstr>'Dezember 2026'!pause</vt:lpstr>
      <vt:lpstr>'Februar 2026'!pause</vt:lpstr>
      <vt:lpstr>'Januar 2026'!pause</vt:lpstr>
      <vt:lpstr>'Juni 2026'!pause</vt:lpstr>
      <vt:lpstr>'Mai 2026'!pause</vt:lpstr>
      <vt:lpstr>'März 2026'!pause</vt:lpstr>
      <vt:lpstr>'November 2026'!pause</vt:lpstr>
      <vt:lpstr>'Oktober 2026'!pause</vt:lpstr>
      <vt:lpstr>'September 2026'!pause</vt:lpstr>
      <vt:lpstr>pause</vt:lpstr>
      <vt:lpstr>'April 2026'!pause2</vt:lpstr>
      <vt:lpstr>'August 2026'!pause2</vt:lpstr>
      <vt:lpstr>'Dezember 2026'!pause2</vt:lpstr>
      <vt:lpstr>'Februar 2026'!pause2</vt:lpstr>
      <vt:lpstr>'Januar 2026'!pause2</vt:lpstr>
      <vt:lpstr>'Juni 2026'!pause2</vt:lpstr>
      <vt:lpstr>'Mai 2026'!pause2</vt:lpstr>
      <vt:lpstr>'März 2026'!pause2</vt:lpstr>
      <vt:lpstr>'November 2026'!pause2</vt:lpstr>
      <vt:lpstr>'Oktober 2026'!pause2</vt:lpstr>
      <vt:lpstr>'September 2026'!pause2</vt:lpstr>
      <vt:lpstr>pause2</vt:lpstr>
      <vt:lpstr>'April 2026'!przerwa1</vt:lpstr>
      <vt:lpstr>'August 2026'!przerwa1</vt:lpstr>
      <vt:lpstr>'Dezember 2026'!przerwa1</vt:lpstr>
      <vt:lpstr>'Februar 2026'!przerwa1</vt:lpstr>
      <vt:lpstr>'Januar 2026'!przerwa1</vt:lpstr>
      <vt:lpstr>'Juni 2026'!przerwa1</vt:lpstr>
      <vt:lpstr>'Mai 2026'!przerwa1</vt:lpstr>
      <vt:lpstr>'März 2026'!przerwa1</vt:lpstr>
      <vt:lpstr>'November 2026'!przerwa1</vt:lpstr>
      <vt:lpstr>'Oktober 2026'!przerwa1</vt:lpstr>
      <vt:lpstr>'September 2026'!przerwa1</vt:lpstr>
      <vt:lpstr>przerwa1</vt:lpstr>
      <vt:lpstr>'April 2026'!przerwa15min</vt:lpstr>
      <vt:lpstr>'August 2026'!przerwa15min</vt:lpstr>
      <vt:lpstr>'Dezember 2026'!przerwa15min</vt:lpstr>
      <vt:lpstr>'Februar 2026'!przerwa15min</vt:lpstr>
      <vt:lpstr>'Januar 2026'!przerwa15min</vt:lpstr>
      <vt:lpstr>'Juni 2026'!przerwa15min</vt:lpstr>
      <vt:lpstr>'Mai 2026'!przerwa15min</vt:lpstr>
      <vt:lpstr>'März 2026'!przerwa15min</vt:lpstr>
      <vt:lpstr>'November 2026'!przerwa15min</vt:lpstr>
      <vt:lpstr>'Oktober 2026'!przerwa15min</vt:lpstr>
      <vt:lpstr>'September 2026'!przerwa15min</vt:lpstr>
      <vt:lpstr>przerwa15min</vt:lpstr>
      <vt:lpstr>rodz11</vt:lpstr>
      <vt:lpstr>rodz12</vt:lpstr>
      <vt:lpstr>'April 2026'!rok</vt:lpstr>
      <vt:lpstr>'August 2026'!rok</vt:lpstr>
      <vt:lpstr>'Dezember 2026'!rok</vt:lpstr>
      <vt:lpstr>'Februar 2026'!rok</vt:lpstr>
      <vt:lpstr>'Januar 2026'!rok</vt:lpstr>
      <vt:lpstr>'Juni 2026'!rok</vt:lpstr>
      <vt:lpstr>'Mai 2026'!rok</vt:lpstr>
      <vt:lpstr>'März 2026'!rok</vt:lpstr>
      <vt:lpstr>'November 2026'!rok</vt:lpstr>
      <vt:lpstr>'Oktober 2026'!rok</vt:lpstr>
      <vt:lpstr>'September 2026'!rok</vt:lpstr>
      <vt:lpstr>rok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Kielb Marcin</dc:creator>
  <cp:lastModifiedBy>Bogusław Konefał</cp:lastModifiedBy>
  <cp:lastPrinted>2019-09-02T06:01:13Z</cp:lastPrinted>
  <dcterms:created xsi:type="dcterms:W3CDTF">2015-12-17T10:42:15Z</dcterms:created>
  <dcterms:modified xsi:type="dcterms:W3CDTF">2026-01-07T07:02:08Z</dcterms:modified>
</cp:coreProperties>
</file>